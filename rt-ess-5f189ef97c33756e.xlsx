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ference Data" sheetId="2" state="visible" r:id="rId4"/>
    <sheet name="Readiness Scorecard" sheetId="3" state="visible" r:id="rId5"/>
    <sheet name="Fee Drain Analyz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<sst xmlns="http://schemas.openxmlformats.org/spreadsheetml/2006/main" count="136" uniqueCount="135">
  <si>
    <t xml:space="preserve">THE WEALTH DRAIN — RETIREMENT TOOLKIT</t>
  </si>
  <si>
    <t xml:space="preserve">Updated for 2026 Tax Year</t>
  </si>
  <si>
    <t xml:space="preserve">WELCOME</t>
  </si>
  <si>
    <t xml:space="preserve">HOW TO USE THIS TOOLKIT</t>
  </si>
  <si>
    <t xml:space="preserve">This workbook contains 6 tabs. Each one is a standalone tool, but they also work together — your inputs on the Reference Data tab feed into every other sheet automatically.</t>
  </si>
  <si>
    <t xml:space="preserve">Step 1: Start with the Reference Data tab</t>
  </si>
  <si>
    <t xml:space="preserve">Enter your personal details (age, income, filing status, state). These flow into every calculator in the workbook. The 2026 federal tax brackets and Social Security figures are pre-loaded — you only need to update them once a year (instructions below).</t>
  </si>
  <si>
    <t xml:space="preserve">Step 2: Explore each tab</t>
  </si>
  <si>
    <t xml:space="preserve">• Retirement Readiness Scorecard — Your overall financial health dashboard. Grades your savings rate, projects your freedom number, and shows where you stand.</t>
  </si>
  <si>
    <t xml:space="preserve">• Fee Drain Analyzer — Compare up to 4 funds side-by-side. See exactly how much fees cost you over your investment timeline.</t>
  </si>
  <si>
    <t xml:space="preserve">• Roth Conversion Planner — Model year-by-year Roth conversions and see the tax impact of different conversion amounts.</t>
  </si>
  <si>
    <t xml:space="preserve">• Social Security Optimizer — Compare claiming at 62, 67, and 70. Find your break-even age and see lifetime benefit projections.</t>
  </si>
  <si>
    <t xml:space="preserve">• Full Retirement Projection — Your complete year-by-year retirement timeline with contributions, growth, withdrawals, and taxes.</t>
  </si>
  <si>
    <t xml:space="preserve">Step 3: Edit the blue numbers</t>
  </si>
  <si>
    <t xml:space="preserve">Every number you can change is in BLUE TEXT on a YELLOW BACKGROUND. Everything else is a formula — don't overwrite it. If you accidentally break something, re-download a fresh copy.</t>
  </si>
  <si>
    <t xml:space="preserve">HOW TO UPDATE FOR A NEW TAX YEAR</t>
  </si>
  <si>
    <t xml:space="preserve">The IRS announces new tax brackets every October/November. To update this toolkit:</t>
  </si>
  <si>
    <t xml:space="preserve">1. Go to the 'Reference Data' tab</t>
  </si>
  <si>
    <t xml:space="preserve">2. Scroll to the 'Federal Tax Brackets' section</t>
  </si>
  <si>
    <t xml:space="preserve">3. Update the bracket thresholds and rates for the new year (all cells are in blue/yellow)</t>
  </si>
  <si>
    <t xml:space="preserve">4. Update the Standard Deduction amount</t>
  </si>
  <si>
    <t xml:space="preserve">5. Update Social Security figures (FRA, bend points, max benefit) if they've changed</t>
  </si>
  <si>
    <t xml:space="preserve">6. That's it — every other tab recalculates automatically</t>
  </si>
  <si>
    <t xml:space="preserve">Where to find updated numbers:</t>
  </si>
  <si>
    <t xml:space="preserve">• Federal tax brackets: IRS.gov → search 'tax brackets [year]' or 'Revenue Procedure'</t>
  </si>
  <si>
    <t xml:space="preserve">• Standard deduction: Same IRS page as brackets</t>
  </si>
  <si>
    <t xml:space="preserve">• Social Security: SSA.gov → search 'benefit amounts [year]'</t>
  </si>
  <si>
    <t xml:space="preserve">• COLA adjustment: SSA.gov → search 'cost of living adjustment'</t>
  </si>
  <si>
    <t xml:space="preserve">IMPORTANT DISCLAIMER</t>
  </si>
  <si>
    <t xml:space="preserve">This toolkit is for educational and planning purposes only. It does not constitute financial, tax, or legal advice. Consult a qualified professional before making financial decisions. Tax calculations are estimates and may not reflect your complete tax situation.</t>
  </si>
  <si>
    <t xml:space="preserve">SUPPORT</t>
  </si>
  <si>
    <t xml:space="preserve">Questions? Email hello@thewealthdrain.com or leave a comment on any YouTube video.</t>
  </si>
  <si>
    <t xml:space="preserve">YouTube: youtube.com/@TheQuietDrain</t>
  </si>
  <si>
    <t xml:space="preserve">REFERENCE DATA &amp; PERSONAL INPUTS</t>
  </si>
  <si>
    <t xml:space="preserve">All blue/yellow cells are editable. These values feed every tab in the workbook.</t>
  </si>
  <si>
    <t xml:space="preserve">YOUR PERSONAL INFORMATION</t>
  </si>
  <si>
    <t xml:space="preserve">Current Age</t>
  </si>
  <si>
    <t xml:space="preserve">Retirement Age (Target)</t>
  </si>
  <si>
    <t xml:space="preserve">Annual Gross Income ($)</t>
  </si>
  <si>
    <t xml:space="preserve">Filing Status</t>
  </si>
  <si>
    <t xml:space="preserve">Single</t>
  </si>
  <si>
    <t xml:space="preserve">State</t>
  </si>
  <si>
    <t xml:space="preserve">No State Income Tax</t>
  </si>
  <si>
    <t xml:space="preserve">Current Retirement Savings ($)</t>
  </si>
  <si>
    <t xml:space="preserve">Monthly Contribution ($)</t>
  </si>
  <si>
    <t xml:space="preserve">Employer Match (%)</t>
  </si>
  <si>
    <t xml:space="preserve">Expected Annual Return (%)</t>
  </si>
  <si>
    <t xml:space="preserve">Expected Inflation (%)</t>
  </si>
  <si>
    <t xml:space="preserve">Annual Expenses in Retirement ($)</t>
  </si>
  <si>
    <t xml:space="preserve">Filing Status options: Single, Married Filing Jointly, Married Filing Separately, Head of Household</t>
  </si>
  <si>
    <t xml:space="preserve">2026 FEDERAL TAX BRACKETS (Single)</t>
  </si>
  <si>
    <t xml:space="preserve">Tax Rate</t>
  </si>
  <si>
    <t xml:space="preserve">From ($)</t>
  </si>
  <si>
    <t xml:space="preserve">To ($)</t>
  </si>
  <si>
    <t xml:space="preserve">Notes</t>
  </si>
  <si>
    <t xml:space="preserve">Top bracket</t>
  </si>
  <si>
    <t xml:space="preserve">Standard Deduction (2026)</t>
  </si>
  <si>
    <t xml:space="preserve">SOCIAL SECURITY REFERENCE (2026)</t>
  </si>
  <si>
    <t xml:space="preserve">Full Retirement Age (FRA)</t>
  </si>
  <si>
    <t xml:space="preserve">Born 1960 or later</t>
  </si>
  <si>
    <t xml:space="preserve">Max Monthly Benefit at FRA</t>
  </si>
  <si>
    <t xml:space="preserve">2026 figure</t>
  </si>
  <si>
    <t xml:space="preserve">Early Claiming Age</t>
  </si>
  <si>
    <t xml:space="preserve">Early Claiming Reduction (%)</t>
  </si>
  <si>
    <t xml:space="preserve">30% reduction at 62 if FRA is 67</t>
  </si>
  <si>
    <t xml:space="preserve">Delayed Retirement Credits (%/yr)</t>
  </si>
  <si>
    <t xml:space="preserve">8% per year past FRA up to 70</t>
  </si>
  <si>
    <t xml:space="preserve">COLA Estimate (%)</t>
  </si>
  <si>
    <t xml:space="preserve">Historical average ~2-3%</t>
  </si>
  <si>
    <t xml:space="preserve">Earnings Test Limit (under FRA)</t>
  </si>
  <si>
    <t xml:space="preserve">2026 limit</t>
  </si>
  <si>
    <t xml:space="preserve">First Bend Point ($)</t>
  </si>
  <si>
    <t xml:space="preserve">2026 PIA formula</t>
  </si>
  <si>
    <t xml:space="preserve">Second Bend Point ($)</t>
  </si>
  <si>
    <t xml:space="preserve">LAST UPDATED: January 2026</t>
  </si>
  <si>
    <t xml:space="preserve">Next update needed: October/November 2026 (when IRS releases 2027 brackets)</t>
  </si>
  <si>
    <t xml:space="preserve">RETIREMENT READINESS SCORECARD</t>
  </si>
  <si>
    <t xml:space="preserve">Your financial health at a glance. All data pulls from the Reference Data tab.</t>
  </si>
  <si>
    <t xml:space="preserve">KEY METRICS</t>
  </si>
  <si>
    <t xml:space="preserve">Years to Retirement</t>
  </si>
  <si>
    <t xml:space="preserve">Annual Contribution ($)</t>
  </si>
  <si>
    <t xml:space="preserve">Employer Match Contribution ($)</t>
  </si>
  <si>
    <t xml:space="preserve">Total Annual Savings ($)</t>
  </si>
  <si>
    <t xml:space="preserve">SAVINGS RATE GRADE</t>
  </si>
  <si>
    <t xml:space="preserve">Savings Rate</t>
  </si>
  <si>
    <t xml:space="preserve">Grade:</t>
  </si>
  <si>
    <t xml:space="preserve">Target: 20%+ of gross income for on-track retirement</t>
  </si>
  <si>
    <t xml:space="preserve">YOUR FREEDOM NUMBER</t>
  </si>
  <si>
    <t xml:space="preserve">Annual Expenses in Retirement</t>
  </si>
  <si>
    <t xml:space="preserve">Freedom Number (25x expenses)</t>
  </si>
  <si>
    <t xml:space="preserve">Based on the 4% rule</t>
  </si>
  <si>
    <t xml:space="preserve">Projected Portfolio at Retirement</t>
  </si>
  <si>
    <t xml:space="preserve">Gap to Freedom Number</t>
  </si>
  <si>
    <t xml:space="preserve">Status:</t>
  </si>
  <si>
    <t xml:space="preserve">PASSIVE INCOME PROJECTION</t>
  </si>
  <si>
    <t xml:space="preserve">Monthly Freedom Income (4% rule)</t>
  </si>
  <si>
    <t xml:space="preserve">Yearly Passive Cashflow</t>
  </si>
  <si>
    <t xml:space="preserve">Covers Monthly Expenses?</t>
  </si>
  <si>
    <t xml:space="preserve">Need/mo</t>
  </si>
  <si>
    <t xml:space="preserve">COMPOUND INTEREST MILESTONES</t>
  </si>
  <si>
    <t xml:space="preserve">Years to $100K</t>
  </si>
  <si>
    <t xml:space="preserve">The $100K barrier — after this, compounding accelerates</t>
  </si>
  <si>
    <t xml:space="preserve">Years to $500K</t>
  </si>
  <si>
    <t xml:space="preserve">Years to $1,000,000</t>
  </si>
  <si>
    <t xml:space="preserve">Years to Freedom Number</t>
  </si>
  <si>
    <t xml:space="preserve">FEE DRAIN ANALYZER</t>
  </si>
  <si>
    <t xml:space="preserve">See how much fees silently eat from your portfolio. Compare up to 4 funds.</t>
  </si>
  <si>
    <t xml:space="preserve">FUND COMPARISON</t>
  </si>
  <si>
    <t xml:space="preserve">Fund A</t>
  </si>
  <si>
    <t xml:space="preserve">Fund B</t>
  </si>
  <si>
    <t xml:space="preserve">Fund C</t>
  </si>
  <si>
    <t xml:space="preserve">Fund D</t>
  </si>
  <si>
    <t xml:space="preserve">Fund Name</t>
  </si>
  <si>
    <t xml:space="preserve">VTI (Total Market)</t>
  </si>
  <si>
    <t xml:space="preserve">VFIAX (S&amp;P 500)</t>
  </si>
  <si>
    <t xml:space="preserve">Growth Fund X</t>
  </si>
  <si>
    <t xml:space="preserve">Managed Fund Y</t>
  </si>
  <si>
    <t xml:space="preserve">Expense Ratio (%)</t>
  </si>
  <si>
    <t xml:space="preserve">Annual Return (%)</t>
  </si>
  <si>
    <t xml:space="preserve">Initial Investment ($)</t>
  </si>
  <si>
    <t xml:space="preserve">Annual Addition ($)</t>
  </si>
  <si>
    <t xml:space="preserve">Time Horizon (Years)</t>
  </si>
  <si>
    <t xml:space="preserve">RESULTS</t>
  </si>
  <si>
    <t xml:space="preserve">Final Balance ($)</t>
  </si>
  <si>
    <t xml:space="preserve">Balance Without Fees ($)</t>
  </si>
  <si>
    <t xml:space="preserve">MONEY LOST TO FEES ($)</t>
  </si>
  <si>
    <t xml:space="preserve">% of Wealth Lost to Fees</t>
  </si>
  <si>
    <t xml:space="preserve">Effective Net Return</t>
  </si>
  <si>
    <t xml:space="preserve">YEAR-BY-YEAR: LOWEST FEE vs HIGHEST FEE</t>
  </si>
  <si>
    <t xml:space="preserve">Year</t>
  </si>
  <si>
    <t xml:space="preserve">Low-Fee Balance</t>
  </si>
  <si>
    <t xml:space="preserve">High-Fee Balance</t>
  </si>
  <si>
    <t xml:space="preserve">Cumulative Fee Drain</t>
  </si>
  <si>
    <t xml:space="preserve">Fee Drain This Year</t>
  </si>
  <si>
    <t xml:space="preserve">Lost as % of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</si>
</sst>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0"/>
    <numFmt numFmtId="168" formatCode="\$#,##0;&quot;($&quot;#,##0\);\-"/>
    <numFmt numFmtId="169" formatCode="0.0"/>
    <numFmt numFmtId="170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6366F1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6366F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6366F1"/>
      <name val="Arial"/>
      <family val="0"/>
      <charset val="1"/>
    </font>
    <font>
      <b val="true"/>
      <sz val="16"/>
      <color rgb="FF6366F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FFFFF0"/>
        <bgColor rgb="FFFFFFFF"/>
      </patternFill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59E0B"/>
      <rgbColor rgb="FFEF4444"/>
      <rgbColor rgb="FF475569"/>
      <rgbColor rgb="FF94A3B8"/>
      <rgbColor rgb="FF003366"/>
      <rgbColor rgb="FF10B981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B2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7.2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</row>
    <row r="8" customFormat="false" ht="23.25" hidden="false" customHeight="true" outlineLevel="0" collapsed="false">
      <c r="B8" s="6" t="s">
        <v>4</v>
      </c>
    </row>
    <row r="10" customFormat="false" ht="15" hidden="false" customHeight="true" outlineLevel="0" collapsed="false">
      <c r="B10" s="6" t="s">
        <v>5</v>
      </c>
    </row>
    <row r="11" customFormat="false" ht="34.5" hidden="false" customHeight="true" outlineLevel="0" collapsed="false">
      <c r="B11" s="6" t="s">
        <v>6</v>
      </c>
    </row>
    <row r="13" customFormat="false" ht="15" hidden="false" customHeight="true" outlineLevel="0" collapsed="false">
      <c r="B13" s="6" t="s">
        <v>7</v>
      </c>
    </row>
    <row r="14" customFormat="false" ht="23.25" hidden="false" customHeight="true" outlineLevel="0" collapsed="false">
      <c r="B14" s="6" t="s">
        <v>8</v>
      </c>
    </row>
    <row r="15" customFormat="false" ht="23.25" hidden="false" customHeight="true" outlineLevel="0" collapsed="false">
      <c r="B15" s="6" t="s">
        <v>9</v>
      </c>
    </row>
    <row r="16" customFormat="false" ht="23.25" hidden="false" customHeight="true" outlineLevel="0" collapsed="false">
      <c r="B16" s="6" t="s">
        <v>10</v>
      </c>
    </row>
    <row r="17" customFormat="false" ht="23.25" hidden="false" customHeight="true" outlineLevel="0" collapsed="false">
      <c r="B17" s="6" t="s">
        <v>11</v>
      </c>
    </row>
    <row r="18" customFormat="false" ht="23.25" hidden="false" customHeight="true" outlineLevel="0" collapsed="false">
      <c r="B18" s="6" t="s">
        <v>12</v>
      </c>
    </row>
    <row r="20" customFormat="false" ht="15" hidden="false" customHeight="true" outlineLevel="0" collapsed="false">
      <c r="B20" s="6" t="s">
        <v>13</v>
      </c>
    </row>
    <row r="21" customFormat="false" ht="23.25" hidden="false" customHeight="true" outlineLevel="0" collapsed="false">
      <c r="B21" s="6" t="s">
        <v>14</v>
      </c>
    </row>
    <row r="23" customFormat="false" ht="15" hidden="false" customHeight="true" outlineLevel="0" collapsed="false">
      <c r="B23" s="5" t="s">
        <v>15</v>
      </c>
    </row>
    <row r="24" customFormat="false" ht="15" hidden="false" customHeight="true" outlineLevel="0" collapsed="false">
      <c r="B24" s="6" t="s">
        <v>16</v>
      </c>
    </row>
    <row r="25" customFormat="false" ht="15" hidden="false" customHeight="true" outlineLevel="0" collapsed="false">
      <c r="B25" s="6" t="s">
        <v>17</v>
      </c>
    </row>
    <row r="26" customFormat="false" ht="15" hidden="false" customHeight="true" outlineLevel="0" collapsed="false">
      <c r="B26" s="6" t="s">
        <v>18</v>
      </c>
    </row>
    <row r="27" customFormat="false" ht="15" hidden="false" customHeight="true" outlineLevel="0" collapsed="false">
      <c r="B27" s="6" t="s">
        <v>19</v>
      </c>
    </row>
    <row r="28" customFormat="false" ht="15" hidden="false" customHeight="true" outlineLevel="0" collapsed="false">
      <c r="B28" s="6" t="s">
        <v>20</v>
      </c>
    </row>
    <row r="29" customFormat="false" ht="15" hidden="false" customHeight="true" outlineLevel="0" collapsed="false">
      <c r="B29" s="6" t="s">
        <v>21</v>
      </c>
    </row>
    <row r="30" customFormat="false" ht="15" hidden="false" customHeight="true" outlineLevel="0" collapsed="false">
      <c r="B30" s="6" t="s">
        <v>22</v>
      </c>
    </row>
    <row r="32" customFormat="false" ht="15" hidden="false" customHeight="true" outlineLevel="0" collapsed="false">
      <c r="B32" s="6" t="s">
        <v>23</v>
      </c>
    </row>
    <row r="33" customFormat="false" ht="15" hidden="false" customHeight="true" outlineLevel="0" collapsed="false">
      <c r="B33" s="6" t="s">
        <v>24</v>
      </c>
    </row>
    <row r="34" customFormat="false" ht="15" hidden="false" customHeight="true" outlineLevel="0" collapsed="false">
      <c r="B34" s="6" t="s">
        <v>25</v>
      </c>
    </row>
    <row r="35" customFormat="false" ht="15" hidden="false" customHeight="true" outlineLevel="0" collapsed="false">
      <c r="B35" s="6" t="s">
        <v>26</v>
      </c>
    </row>
    <row r="36" customFormat="false" ht="15" hidden="false" customHeight="true" outlineLevel="0" collapsed="false">
      <c r="B36" s="6" t="s">
        <v>27</v>
      </c>
    </row>
    <row r="38" customFormat="false" ht="15" hidden="false" customHeight="true" outlineLevel="0" collapsed="false">
      <c r="B38" s="5" t="s">
        <v>28</v>
      </c>
    </row>
    <row r="39" customFormat="false" ht="34.5" hidden="false" customHeight="true" outlineLevel="0" collapsed="false">
      <c r="B39" s="6" t="s">
        <v>29</v>
      </c>
    </row>
    <row r="41" customFormat="false" ht="15" hidden="false" customHeight="true" outlineLevel="0" collapsed="false">
      <c r="B41" s="5" t="s">
        <v>30</v>
      </c>
    </row>
    <row r="42" customFormat="false" ht="15" hidden="false" customHeight="true" outlineLevel="0" collapsed="false">
      <c r="B42" s="6" t="s">
        <v>31</v>
      </c>
    </row>
    <row r="43" customFormat="false" ht="15" hidden="false" customHeight="true" outlineLevel="0" collapsed="false">
      <c r="B43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6" min="3" style="1" width="20"/>
  </cols>
  <sheetData>
    <row r="2" customFormat="false" ht="19.5" hidden="false" customHeight="true" outlineLevel="0" collapsed="false">
      <c r="B2" s="7" t="s">
        <v>33</v>
      </c>
    </row>
    <row r="3" customFormat="false" ht="15" hidden="false" customHeight="true" outlineLevel="0" collapsed="false">
      <c r="B3" s="8" t="s">
        <v>34</v>
      </c>
    </row>
    <row r="5" customFormat="false" ht="15" hidden="false" customHeight="true" outlineLevel="0" collapsed="false">
      <c r="B5" s="9" t="s">
        <v>35</v>
      </c>
      <c r="C5" s="9"/>
    </row>
    <row r="6" customFormat="false" ht="15" hidden="false" customHeight="true" outlineLevel="0" collapsed="false">
      <c r="B6" s="6" t="s">
        <v>36</v>
      </c>
      <c r="C6" s="10" t="n">
        <v>30</v>
      </c>
    </row>
    <row r="7" customFormat="false" ht="15" hidden="false" customHeight="true" outlineLevel="0" collapsed="false">
      <c r="B7" s="6" t="s">
        <v>37</v>
      </c>
      <c r="C7" s="10" t="n">
        <v>65</v>
      </c>
    </row>
    <row r="8" customFormat="false" ht="15" hidden="false" customHeight="true" outlineLevel="0" collapsed="false">
      <c r="B8" s="6" t="s">
        <v>38</v>
      </c>
      <c r="C8" s="11" t="n">
        <v>75000</v>
      </c>
    </row>
    <row r="9" customFormat="false" ht="15" hidden="false" customHeight="true" outlineLevel="0" collapsed="false">
      <c r="B9" s="6" t="s">
        <v>39</v>
      </c>
      <c r="C9" s="12" t="s">
        <v>40</v>
      </c>
    </row>
    <row r="10" customFormat="false" ht="15" hidden="false" customHeight="true" outlineLevel="0" collapsed="false">
      <c r="B10" s="6" t="s">
        <v>41</v>
      </c>
      <c r="C10" s="12" t="s">
        <v>42</v>
      </c>
    </row>
    <row r="11" customFormat="false" ht="15" hidden="false" customHeight="true" outlineLevel="0" collapsed="false">
      <c r="B11" s="6" t="s">
        <v>43</v>
      </c>
      <c r="C11" s="11" t="n">
        <v>50000</v>
      </c>
    </row>
    <row r="12" customFormat="false" ht="15" hidden="false" customHeight="true" outlineLevel="0" collapsed="false">
      <c r="B12" s="6" t="s">
        <v>44</v>
      </c>
      <c r="C12" s="11" t="n">
        <v>1250</v>
      </c>
    </row>
    <row r="13" customFormat="false" ht="15" hidden="false" customHeight="true" outlineLevel="0" collapsed="false">
      <c r="B13" s="6" t="s">
        <v>45</v>
      </c>
      <c r="C13" s="13" t="n">
        <v>0.03</v>
      </c>
    </row>
    <row r="14" customFormat="false" ht="15" hidden="false" customHeight="true" outlineLevel="0" collapsed="false">
      <c r="B14" s="6" t="s">
        <v>46</v>
      </c>
      <c r="C14" s="13" t="n">
        <v>0.08</v>
      </c>
    </row>
    <row r="15" customFormat="false" ht="15" hidden="false" customHeight="true" outlineLevel="0" collapsed="false">
      <c r="B15" s="6" t="s">
        <v>47</v>
      </c>
      <c r="C15" s="13" t="n">
        <v>0.03</v>
      </c>
    </row>
    <row r="16" customFormat="false" ht="15" hidden="false" customHeight="true" outlineLevel="0" collapsed="false">
      <c r="B16" s="6" t="s">
        <v>48</v>
      </c>
      <c r="C16" s="11" t="n">
        <v>48000</v>
      </c>
    </row>
    <row r="17" customFormat="false" ht="15" hidden="false" customHeight="true" outlineLevel="0" collapsed="false">
      <c r="B17" s="8" t="s">
        <v>49</v>
      </c>
    </row>
    <row r="19" customFormat="false" ht="15" hidden="false" customHeight="true" outlineLevel="0" collapsed="false">
      <c r="B19" s="9" t="s">
        <v>50</v>
      </c>
      <c r="C19" s="9"/>
      <c r="D19" s="9"/>
      <c r="E19" s="9"/>
    </row>
    <row r="20" customFormat="false" ht="15" hidden="false" customHeight="true" outlineLevel="0" collapsed="false">
      <c r="B20" s="14" t="s">
        <v>51</v>
      </c>
      <c r="C20" s="14" t="s">
        <v>52</v>
      </c>
      <c r="D20" s="14" t="s">
        <v>53</v>
      </c>
      <c r="E20" s="14" t="s">
        <v>54</v>
      </c>
    </row>
    <row r="21" customFormat="false" ht="15" hidden="false" customHeight="true" outlineLevel="0" collapsed="false">
      <c r="B21" s="15" t="n">
        <v>0.1</v>
      </c>
      <c r="C21" s="16" t="n">
        <v>0</v>
      </c>
      <c r="D21" s="16" t="n">
        <v>11925</v>
      </c>
      <c r="E21" s="17"/>
    </row>
    <row r="22" customFormat="false" ht="15" hidden="false" customHeight="true" outlineLevel="0" collapsed="false">
      <c r="B22" s="15" t="n">
        <v>0.12</v>
      </c>
      <c r="C22" s="16" t="n">
        <v>11926</v>
      </c>
      <c r="D22" s="16" t="n">
        <v>48475</v>
      </c>
      <c r="E22" s="17"/>
    </row>
    <row r="23" customFormat="false" ht="15" hidden="false" customHeight="true" outlineLevel="0" collapsed="false">
      <c r="B23" s="15" t="n">
        <v>0.22</v>
      </c>
      <c r="C23" s="16" t="n">
        <v>48476</v>
      </c>
      <c r="D23" s="16" t="n">
        <v>103350</v>
      </c>
      <c r="E23" s="17"/>
    </row>
    <row r="24" customFormat="false" ht="15" hidden="false" customHeight="true" outlineLevel="0" collapsed="false">
      <c r="B24" s="15" t="n">
        <v>0.24</v>
      </c>
      <c r="C24" s="16" t="n">
        <v>103351</v>
      </c>
      <c r="D24" s="16" t="n">
        <v>197300</v>
      </c>
      <c r="E24" s="17"/>
    </row>
    <row r="25" customFormat="false" ht="15" hidden="false" customHeight="true" outlineLevel="0" collapsed="false">
      <c r="B25" s="15" t="n">
        <v>0.32</v>
      </c>
      <c r="C25" s="16" t="n">
        <v>197301</v>
      </c>
      <c r="D25" s="16" t="n">
        <v>250525</v>
      </c>
      <c r="E25" s="17"/>
    </row>
    <row r="26" customFormat="false" ht="15" hidden="false" customHeight="true" outlineLevel="0" collapsed="false">
      <c r="B26" s="15" t="n">
        <v>0.35</v>
      </c>
      <c r="C26" s="16" t="n">
        <v>250526</v>
      </c>
      <c r="D26" s="16" t="n">
        <v>626350</v>
      </c>
      <c r="E26" s="17"/>
    </row>
    <row r="27" customFormat="false" ht="15" hidden="false" customHeight="true" outlineLevel="0" collapsed="false">
      <c r="B27" s="15" t="n">
        <v>0.37</v>
      </c>
      <c r="C27" s="16" t="n">
        <v>626351</v>
      </c>
      <c r="D27" s="16" t="n">
        <v>99999999</v>
      </c>
      <c r="E27" s="17" t="s">
        <v>55</v>
      </c>
    </row>
    <row r="29" customFormat="false" ht="15" hidden="false" customHeight="true" outlineLevel="0" collapsed="false">
      <c r="B29" s="6" t="s">
        <v>56</v>
      </c>
      <c r="C29" s="11" t="n">
        <v>15700</v>
      </c>
    </row>
    <row r="31" customFormat="false" ht="15" hidden="false" customHeight="true" outlineLevel="0" collapsed="false">
      <c r="B31" s="9" t="s">
        <v>57</v>
      </c>
      <c r="C31" s="9"/>
      <c r="D31" s="9"/>
      <c r="E31" s="9"/>
    </row>
    <row r="32" customFormat="false" ht="15" hidden="false" customHeight="true" outlineLevel="0" collapsed="false">
      <c r="B32" s="6" t="s">
        <v>58</v>
      </c>
      <c r="C32" s="10" t="n">
        <v>67</v>
      </c>
      <c r="E32" s="8" t="s">
        <v>59</v>
      </c>
    </row>
    <row r="33" customFormat="false" ht="15" hidden="false" customHeight="true" outlineLevel="0" collapsed="false">
      <c r="B33" s="6" t="s">
        <v>60</v>
      </c>
      <c r="C33" s="11" t="n">
        <v>4018</v>
      </c>
      <c r="E33" s="8" t="s">
        <v>61</v>
      </c>
    </row>
    <row r="34" customFormat="false" ht="15" hidden="false" customHeight="true" outlineLevel="0" collapsed="false">
      <c r="B34" s="6" t="s">
        <v>62</v>
      </c>
      <c r="C34" s="10" t="n">
        <v>62</v>
      </c>
      <c r="E34" s="8"/>
    </row>
    <row r="35" customFormat="false" ht="15" hidden="false" customHeight="true" outlineLevel="0" collapsed="false">
      <c r="B35" s="6" t="s">
        <v>63</v>
      </c>
      <c r="C35" s="13" t="n">
        <v>0.3</v>
      </c>
      <c r="E35" s="8" t="s">
        <v>64</v>
      </c>
    </row>
    <row r="36" customFormat="false" ht="15" hidden="false" customHeight="true" outlineLevel="0" collapsed="false">
      <c r="B36" s="6" t="s">
        <v>65</v>
      </c>
      <c r="C36" s="13" t="n">
        <v>0.08</v>
      </c>
      <c r="E36" s="8" t="s">
        <v>66</v>
      </c>
    </row>
    <row r="37" customFormat="false" ht="15" hidden="false" customHeight="true" outlineLevel="0" collapsed="false">
      <c r="B37" s="6" t="s">
        <v>67</v>
      </c>
      <c r="C37" s="13" t="n">
        <v>0.025</v>
      </c>
      <c r="E37" s="8" t="s">
        <v>68</v>
      </c>
    </row>
    <row r="38" customFormat="false" ht="15" hidden="false" customHeight="true" outlineLevel="0" collapsed="false">
      <c r="B38" s="6" t="s">
        <v>69</v>
      </c>
      <c r="C38" s="11" t="n">
        <v>23400</v>
      </c>
      <c r="E38" s="8" t="s">
        <v>70</v>
      </c>
    </row>
    <row r="39" customFormat="false" ht="15" hidden="false" customHeight="true" outlineLevel="0" collapsed="false">
      <c r="B39" s="6" t="s">
        <v>71</v>
      </c>
      <c r="C39" s="11" t="n">
        <v>1226</v>
      </c>
      <c r="E39" s="8" t="s">
        <v>72</v>
      </c>
    </row>
    <row r="40" customFormat="false" ht="15" hidden="false" customHeight="true" outlineLevel="0" collapsed="false">
      <c r="B40" s="6" t="s">
        <v>73</v>
      </c>
      <c r="C40" s="11" t="n">
        <v>7391</v>
      </c>
      <c r="E40" s="8" t="s">
        <v>72</v>
      </c>
    </row>
    <row r="43" customFormat="false" ht="15" hidden="false" customHeight="true" outlineLevel="0" collapsed="false">
      <c r="B43" s="3" t="s">
        <v>74</v>
      </c>
    </row>
    <row r="44" customFormat="false" ht="15" hidden="false" customHeight="true" outlineLevel="0" collapsed="false">
      <c r="B44" s="8" t="s">
        <v>75</v>
      </c>
    </row>
  </sheetData>
  <mergeCells count="3">
    <mergeCell ref="B5:C5"/>
    <mergeCell ref="B19:E1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B2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5" min="3" style="1" width="20"/>
    <col collapsed="false" customWidth="true" hidden="false" outlineLevel="0" max="6" min="6" style="1" width="25"/>
  </cols>
  <sheetData>
    <row r="2" customFormat="false" ht="19.5" hidden="false" customHeight="true" outlineLevel="0" collapsed="false">
      <c r="B2" s="7" t="s">
        <v>76</v>
      </c>
    </row>
    <row r="3" customFormat="false" ht="15" hidden="false" customHeight="true" outlineLevel="0" collapsed="false">
      <c r="B3" s="8" t="s">
        <v>77</v>
      </c>
    </row>
    <row r="5" customFormat="false" ht="15" hidden="false" customHeight="true" outlineLevel="0" collapsed="false">
      <c r="B5" s="9" t="s">
        <v>78</v>
      </c>
      <c r="C5" s="9"/>
    </row>
    <row r="6" customFormat="false" ht="15" hidden="false" customHeight="true" outlineLevel="0" collapsed="false">
      <c r="B6" s="18" t="s">
        <v>79</v>
      </c>
      <c r="C6" s="19" t="n">
        <f aca="false">'Reference Data'!C7-'Reference Data'!C6</f>
        <v>35</v>
      </c>
    </row>
    <row r="7" customFormat="false" ht="15" hidden="false" customHeight="true" outlineLevel="0" collapsed="false">
      <c r="B7" s="18" t="s">
        <v>80</v>
      </c>
      <c r="C7" s="20" t="n">
        <f aca="false">'Reference Data'!C12*12</f>
        <v>15000</v>
      </c>
    </row>
    <row r="8" customFormat="false" ht="15" hidden="false" customHeight="true" outlineLevel="0" collapsed="false">
      <c r="B8" s="18" t="s">
        <v>81</v>
      </c>
      <c r="C8" s="20" t="n">
        <f aca="false">'Reference Data'!C8*'Reference Data'!C13</f>
        <v>2250</v>
      </c>
    </row>
    <row r="9" customFormat="false" ht="15" hidden="false" customHeight="true" outlineLevel="0" collapsed="false">
      <c r="B9" s="18" t="s">
        <v>82</v>
      </c>
      <c r="C9" s="21" t="n">
        <f aca="false">C7+C8</f>
        <v>17250</v>
      </c>
    </row>
    <row r="11" customFormat="false" ht="15" hidden="false" customHeight="true" outlineLevel="0" collapsed="false">
      <c r="B11" s="9" t="s">
        <v>83</v>
      </c>
      <c r="C11" s="9"/>
      <c r="D11" s="9"/>
      <c r="E11" s="9"/>
    </row>
    <row r="12" customFormat="false" ht="19.5" hidden="false" customHeight="true" outlineLevel="0" collapsed="false">
      <c r="B12" s="18" t="s">
        <v>84</v>
      </c>
      <c r="C12" s="22" t="n">
        <f aca="false">C9/'Reference Data'!C8</f>
        <v>0.23</v>
      </c>
      <c r="D12" s="18" t="s">
        <v>85</v>
      </c>
      <c r="E12" s="5" t="str">
        <f aca="false">IF(C12&gt;=0.25,"A — Excellent",IF(C12&gt;=0.2,"B — Great",IF(C12&gt;=0.15,"C — Good",IF(C12&gt;=0.1,"D — Needs Work","F — Critical"))))</f>
        <v>B — Great</v>
      </c>
    </row>
    <row r="13" customFormat="false" ht="15" hidden="false" customHeight="true" outlineLevel="0" collapsed="false">
      <c r="B13" s="8" t="s">
        <v>86</v>
      </c>
    </row>
    <row r="15" customFormat="false" ht="15" hidden="false" customHeight="true" outlineLevel="0" collapsed="false">
      <c r="B15" s="9" t="s">
        <v>87</v>
      </c>
      <c r="C15" s="9"/>
      <c r="D15" s="9"/>
      <c r="E15" s="9"/>
    </row>
    <row r="16" customFormat="false" ht="15" hidden="false" customHeight="true" outlineLevel="0" collapsed="false">
      <c r="B16" s="18" t="s">
        <v>88</v>
      </c>
      <c r="C16" s="20" t="n">
        <f aca="false">'Reference Data'!C16</f>
        <v>48000</v>
      </c>
    </row>
    <row r="17" customFormat="false" ht="19.5" hidden="false" customHeight="true" outlineLevel="0" collapsed="false">
      <c r="B17" s="18" t="s">
        <v>89</v>
      </c>
      <c r="C17" s="23" t="n">
        <f aca="false">C16*25</f>
        <v>1200000</v>
      </c>
      <c r="E17" s="8" t="s">
        <v>90</v>
      </c>
    </row>
    <row r="19" customFormat="false" ht="19.5" hidden="false" customHeight="true" outlineLevel="0" collapsed="false">
      <c r="B19" s="18" t="s">
        <v>91</v>
      </c>
      <c r="C19" s="23" t="n">
        <f aca="false">FV('Reference Data'!C14,C6,-C9,-'Reference Data'!C11)</f>
        <v>3711732.0781789</v>
      </c>
    </row>
    <row r="20" customFormat="false" ht="15" hidden="false" customHeight="true" outlineLevel="0" collapsed="false">
      <c r="B20" s="18" t="s">
        <v>92</v>
      </c>
      <c r="C20" s="24" t="n">
        <f aca="false">C19-C17</f>
        <v>2511732.0781789</v>
      </c>
      <c r="D20" s="18" t="s">
        <v>93</v>
      </c>
      <c r="E20" s="25" t="str">
        <f aca="false">IF(C20&gt;=0,"ON TRACK","BEHIND — Increase savings or timeline")</f>
        <v>ON TRACK</v>
      </c>
    </row>
    <row r="22" customFormat="false" ht="15" hidden="false" customHeight="true" outlineLevel="0" collapsed="false">
      <c r="B22" s="9" t="s">
        <v>94</v>
      </c>
      <c r="C22" s="9"/>
      <c r="D22" s="9"/>
      <c r="E22" s="9"/>
    </row>
    <row r="23" customFormat="false" ht="19.5" hidden="false" customHeight="true" outlineLevel="0" collapsed="false">
      <c r="B23" s="18" t="s">
        <v>95</v>
      </c>
      <c r="C23" s="23" t="n">
        <f aca="false">C19*0.04/12</f>
        <v>12372.4402605963</v>
      </c>
    </row>
    <row r="24" customFormat="false" ht="15" hidden="false" customHeight="true" outlineLevel="0" collapsed="false">
      <c r="B24" s="18" t="s">
        <v>96</v>
      </c>
      <c r="C24" s="20" t="n">
        <f aca="false">C19*0.04</f>
        <v>148469.283127156</v>
      </c>
    </row>
    <row r="25" customFormat="false" ht="15" hidden="false" customHeight="true" outlineLevel="0" collapsed="false">
      <c r="B25" s="18" t="s">
        <v>97</v>
      </c>
      <c r="C25" s="20" t="n">
        <f aca="false">C16/12</f>
        <v>4000</v>
      </c>
      <c r="D25" s="8" t="s">
        <v>98</v>
      </c>
      <c r="E25" s="25" t="str">
        <f aca="false">IF(C23&gt;=C25,"YES — Fully funded","NO — Shortfall of "&amp;TEXT(C25-C23,"$#,##0")&amp;"/mo")</f>
        <v>YES — Fully funded</v>
      </c>
    </row>
    <row r="27" customFormat="false" ht="15" hidden="false" customHeight="true" outlineLevel="0" collapsed="false">
      <c r="B27" s="9" t="s">
        <v>99</v>
      </c>
      <c r="C27" s="9"/>
      <c r="D27" s="9"/>
      <c r="E27" s="9"/>
    </row>
    <row r="28" customFormat="false" ht="15" hidden="false" customHeight="true" outlineLevel="0" collapsed="false">
      <c r="B28" s="18" t="s">
        <v>100</v>
      </c>
      <c r="C28" s="26" t="n">
        <f aca="false">IFERROR(NPER('Reference Data'!C14,-(C9),-('Reference Data'!C11),100000),"Already there!")</f>
        <v>2.24099437591911</v>
      </c>
      <c r="E28" s="8" t="s">
        <v>101</v>
      </c>
    </row>
    <row r="29" customFormat="false" ht="15" hidden="false" customHeight="true" outlineLevel="0" collapsed="false">
      <c r="B29" s="18" t="s">
        <v>102</v>
      </c>
      <c r="C29" s="26" t="n">
        <f aca="false">IFERROR(NPER('Reference Data'!C14,-(C9),-('Reference Data'!C11),500000),"Already there!")</f>
        <v>12.8775641861565</v>
      </c>
    </row>
    <row r="30" customFormat="false" ht="15" hidden="false" customHeight="true" outlineLevel="0" collapsed="false">
      <c r="B30" s="18" t="s">
        <v>103</v>
      </c>
      <c r="C30" s="26" t="n">
        <f aca="false">IFERROR(NPER('Reference Data'!C14,-(C9),-('Reference Data'!C11),1000000),"Already there!")</f>
        <v>19.7623117446907</v>
      </c>
    </row>
    <row r="31" customFormat="false" ht="15" hidden="false" customHeight="true" outlineLevel="0" collapsed="false">
      <c r="B31" s="18" t="s">
        <v>104</v>
      </c>
      <c r="C31" s="26" t="n">
        <f aca="false">IFERROR(NPER('Reference Data'!C14,-(C9),-('Reference Data'!C11),C17),"Already there!")</f>
        <v>21.7414011594918</v>
      </c>
      <c r="E31" s="27" t="str">
        <f aca="false">IF(ISNUMBER(C31),"You'll hit freedom at age "&amp;TEXT('Reference Data'!C6+C31,"0"),"")</f>
        <v>You'll hit freedom at age 52</v>
      </c>
    </row>
  </sheetData>
  <mergeCells count="5">
    <mergeCell ref="B5:C5"/>
    <mergeCell ref="B11:E11"/>
    <mergeCell ref="B15:E15"/>
    <mergeCell ref="B22:E22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8"/>
    <col collapsed="false" customWidth="true" hidden="false" outlineLevel="0" max="7" min="7" style="1" width="22"/>
  </cols>
  <sheetData>
    <row r="2" customFormat="false" ht="19.5" hidden="false" customHeight="true" outlineLevel="0" collapsed="false">
      <c r="B2" s="7" t="s">
        <v>105</v>
      </c>
    </row>
    <row r="3" customFormat="false" ht="15" hidden="false" customHeight="true" outlineLevel="0" collapsed="false">
      <c r="B3" s="8" t="s">
        <v>106</v>
      </c>
    </row>
    <row r="5" customFormat="false" ht="15" hidden="false" customHeight="true" outlineLevel="0" collapsed="false">
      <c r="B5" s="9" t="s">
        <v>107</v>
      </c>
      <c r="C5" s="9"/>
      <c r="D5" s="9"/>
      <c r="E5" s="9"/>
      <c r="F5" s="9"/>
    </row>
    <row r="6" customFormat="false" ht="15" hidden="false" customHeight="true" outlineLevel="0" collapsed="false">
      <c r="B6" s="14"/>
      <c r="C6" s="14" t="s">
        <v>108</v>
      </c>
      <c r="D6" s="14" t="s">
        <v>109</v>
      </c>
      <c r="E6" s="14" t="s">
        <v>110</v>
      </c>
      <c r="F6" s="14" t="s">
        <v>111</v>
      </c>
    </row>
    <row r="7" customFormat="false" ht="15" hidden="false" customHeight="true" outlineLevel="0" collapsed="false">
      <c r="B7" s="6" t="s">
        <v>112</v>
      </c>
      <c r="C7" s="12" t="s">
        <v>113</v>
      </c>
      <c r="D7" s="12" t="s">
        <v>114</v>
      </c>
      <c r="E7" s="12" t="s">
        <v>115</v>
      </c>
      <c r="F7" s="12" t="s">
        <v>116</v>
      </c>
    </row>
    <row r="8" customFormat="false" ht="15" hidden="false" customHeight="true" outlineLevel="0" collapsed="false">
      <c r="B8" s="6" t="s">
        <v>117</v>
      </c>
      <c r="C8" s="28" t="n">
        <v>0.0003</v>
      </c>
      <c r="D8" s="28" t="n">
        <v>0.0004</v>
      </c>
      <c r="E8" s="28" t="n">
        <v>0.0075</v>
      </c>
      <c r="F8" s="28" t="n">
        <v>0.01</v>
      </c>
    </row>
    <row r="9" customFormat="false" ht="15" hidden="false" customHeight="true" outlineLevel="0" collapsed="false">
      <c r="B9" s="6" t="s">
        <v>118</v>
      </c>
      <c r="C9" s="28" t="n">
        <v>0.08</v>
      </c>
      <c r="D9" s="28" t="n">
        <v>0.08</v>
      </c>
      <c r="E9" s="28" t="n">
        <v>0.08</v>
      </c>
      <c r="F9" s="28" t="n">
        <v>0.08</v>
      </c>
    </row>
    <row r="10" customFormat="false" ht="15" hidden="false" customHeight="true" outlineLevel="0" collapsed="false">
      <c r="B10" s="6" t="s">
        <v>119</v>
      </c>
      <c r="C10" s="11" t="n">
        <v>50000</v>
      </c>
    </row>
    <row r="11" customFormat="false" ht="15" hidden="false" customHeight="true" outlineLevel="0" collapsed="false">
      <c r="B11" s="6" t="s">
        <v>120</v>
      </c>
      <c r="C11" s="11" t="n">
        <v>15000</v>
      </c>
    </row>
    <row r="12" customFormat="false" ht="15" hidden="false" customHeight="true" outlineLevel="0" collapsed="false">
      <c r="B12" s="6" t="s">
        <v>121</v>
      </c>
      <c r="C12" s="10" t="n">
        <v>30</v>
      </c>
    </row>
    <row r="14" customFormat="false" ht="15" hidden="false" customHeight="true" outlineLevel="0" collapsed="false">
      <c r="B14" s="9" t="s">
        <v>122</v>
      </c>
      <c r="C14" s="9"/>
      <c r="D14" s="9"/>
      <c r="E14" s="9"/>
      <c r="F14" s="9"/>
    </row>
    <row r="15" customFormat="false" ht="15" hidden="false" customHeight="true" outlineLevel="0" collapsed="false">
      <c r="C15" s="1" t="str">
        <f aca="false">B7</f>
        <v>Fund Name</v>
      </c>
      <c r="D15" s="1" t="str">
        <f aca="false">B7</f>
        <v>Fund Name</v>
      </c>
      <c r="E15" s="1" t="str">
        <f aca="false">B7</f>
        <v>Fund Name</v>
      </c>
      <c r="F15" s="1" t="str">
        <f aca="false">B7</f>
        <v>Fund Name</v>
      </c>
    </row>
    <row r="16" customFormat="false" ht="15" hidden="false" customHeight="true" outlineLevel="0" collapsed="false">
      <c r="B16" s="18" t="s">
        <v>123</v>
      </c>
      <c r="C16" s="29" t="n">
        <f aca="false">FV(C9-C8,$C$12,-$C$11,-$C$10)</f>
        <v>2188882.56558892</v>
      </c>
      <c r="D16" s="29" t="n">
        <f aca="false">FV(D9-D8,$C$12,-$C$11,-$C$10)</f>
        <v>2184403.04527176</v>
      </c>
      <c r="E16" s="29" t="n">
        <f aca="false">FV(E9-E8,$C$12,-$C$11,-$C$10)</f>
        <v>1890484.3087238</v>
      </c>
      <c r="F16" s="29" t="n">
        <f aca="false">FV(F9-F8,$C$12,-$C$11,-$C$10)</f>
        <v>1797524.54698925</v>
      </c>
    </row>
    <row r="17" customFormat="false" ht="15" hidden="false" customHeight="true" outlineLevel="0" collapsed="false">
      <c r="B17" s="18" t="s">
        <v>124</v>
      </c>
      <c r="C17" s="29" t="n">
        <f aca="false">FV(C9,$C$12,-$C$11,-$C$10)</f>
        <v>2202381.01115494</v>
      </c>
      <c r="D17" s="29" t="n">
        <f aca="false">FV(D9,$C$12,-$C$11,-$C$10)</f>
        <v>2202381.01115494</v>
      </c>
      <c r="E17" s="29" t="n">
        <f aca="false">FV(E9,$C$12,-$C$11,-$C$10)</f>
        <v>2202381.01115494</v>
      </c>
      <c r="F17" s="29" t="n">
        <f aca="false">FV(F9,$C$12,-$C$11,-$C$10)</f>
        <v>2202381.01115494</v>
      </c>
    </row>
    <row r="18" customFormat="false" ht="15" hidden="false" customHeight="true" outlineLevel="0" collapsed="false">
      <c r="B18" s="30" t="s">
        <v>125</v>
      </c>
      <c r="C18" s="31" t="n">
        <f aca="false">C17-C16</f>
        <v>13498.4455660237</v>
      </c>
      <c r="D18" s="31" t="n">
        <f aca="false">D17-D16</f>
        <v>17977.965883188</v>
      </c>
      <c r="E18" s="31" t="n">
        <f aca="false">E17-E16</f>
        <v>311896.702431143</v>
      </c>
      <c r="F18" s="31" t="n">
        <f aca="false">F17-F16</f>
        <v>404856.464165691</v>
      </c>
    </row>
    <row r="19" customFormat="false" ht="15" hidden="false" customHeight="true" outlineLevel="0" collapsed="false">
      <c r="B19" s="18" t="s">
        <v>126</v>
      </c>
      <c r="C19" s="32" t="n">
        <f aca="false">IFERROR(C18/C17,0)</f>
        <v>0.00612902376911841</v>
      </c>
      <c r="D19" s="32" t="n">
        <f aca="false">IFERROR(D18/D17,0)</f>
        <v>0.00816296807506535</v>
      </c>
      <c r="E19" s="32" t="n">
        <f aca="false">IFERROR(E18/E17,0)</f>
        <v>0.141617958405654</v>
      </c>
      <c r="F19" s="32" t="n">
        <f aca="false">IFERROR(F18/F17,0)</f>
        <v>0.183826713958717</v>
      </c>
    </row>
    <row r="20" customFormat="false" ht="15" hidden="false" customHeight="true" outlineLevel="0" collapsed="false">
      <c r="B20" s="18" t="s">
        <v>127</v>
      </c>
      <c r="C20" s="33" t="n">
        <f aca="false">C9-C8</f>
        <v>0.0797</v>
      </c>
      <c r="D20" s="33" t="n">
        <f aca="false">D9-D8</f>
        <v>0.0796</v>
      </c>
      <c r="E20" s="33" t="n">
        <f aca="false">E9-E8</f>
        <v>0.0725</v>
      </c>
      <c r="F20" s="33" t="n">
        <f aca="false">F9-F8</f>
        <v>0.07</v>
      </c>
    </row>
    <row r="22" customFormat="false" ht="15" hidden="false" customHeight="true" outlineLevel="0" collapsed="false">
      <c r="B22" s="9" t="s">
        <v>128</v>
      </c>
      <c r="C22" s="9"/>
      <c r="D22" s="9"/>
      <c r="E22" s="9"/>
      <c r="F22" s="9"/>
      <c r="G22" s="9"/>
    </row>
    <row r="23" customFormat="false" ht="15" hidden="false" customHeight="true" outlineLevel="0" collapsed="false">
      <c r="B23" s="34" t="s">
        <v>129</v>
      </c>
      <c r="C23" s="34" t="s">
        <v>130</v>
      </c>
      <c r="D23" s="34" t="s">
        <v>131</v>
      </c>
      <c r="E23" s="34" t="s">
        <v>132</v>
      </c>
      <c r="F23" s="34" t="s">
        <v>133</v>
      </c>
      <c r="G23" s="34" t="s">
        <v>134</v>
      </c>
    </row>
    <row r="24" customFormat="false" ht="15" hidden="false" customHeight="true" outlineLevel="0" collapsed="false">
      <c r="B24" s="35" t="n">
        <v>0</v>
      </c>
      <c r="C24" s="36" t="n">
        <f aca="false">$C$10</f>
        <v>50000</v>
      </c>
      <c r="D24" s="36" t="n">
        <f aca="false">$C$10</f>
        <v>50000</v>
      </c>
      <c r="E24" s="36" t="n">
        <f aca="false">C24-D24</f>
        <v>0</v>
      </c>
      <c r="F24" s="36" t="n">
        <f aca="false">IF(B24=0,0,E24-E24)</f>
        <v>0</v>
      </c>
      <c r="G24" s="37" t="n">
        <f aca="false">IFERROR(E24/C24,0)</f>
        <v>0</v>
      </c>
    </row>
    <row r="25" customFormat="false" ht="15" hidden="false" customHeight="true" outlineLevel="0" collapsed="false">
      <c r="B25" s="35" t="n">
        <v>1</v>
      </c>
      <c r="C25" s="36" t="n">
        <f aca="false">(C24+$C$11)*(1+$C$9-$C$8)</f>
        <v>70180.5</v>
      </c>
      <c r="D25" s="36" t="n">
        <f aca="false">(D24+$C$11)*(1+$F$9-$F$8)</f>
        <v>69550</v>
      </c>
      <c r="E25" s="36" t="n">
        <f aca="false">C25-D25</f>
        <v>630.5</v>
      </c>
      <c r="F25" s="36" t="n">
        <f aca="false">IF(B25=0,0,E25-E24)</f>
        <v>630.5</v>
      </c>
      <c r="G25" s="37" t="n">
        <f aca="false">IFERROR(E25/C25,0)</f>
        <v>0.00898397703065666</v>
      </c>
    </row>
    <row r="26" customFormat="false" ht="15" hidden="false" customHeight="true" outlineLevel="0" collapsed="false">
      <c r="B26" s="35" t="n">
        <v>2</v>
      </c>
      <c r="C26" s="36" t="n">
        <f aca="false">(C25+$C$11)*(1+$C$9-$C$8)</f>
        <v>91969.38585</v>
      </c>
      <c r="D26" s="36" t="n">
        <f aca="false">(D25+$C$11)*(1+$F$9-$F$8)</f>
        <v>90468.5</v>
      </c>
      <c r="E26" s="36" t="n">
        <f aca="false">C26-D26</f>
        <v>1500.88585000001</v>
      </c>
      <c r="F26" s="36" t="n">
        <f aca="false">IF(B26=0,0,E26-E25)</f>
        <v>870.385850000006</v>
      </c>
      <c r="G26" s="37" t="n">
        <f aca="false">IFERROR(E26/C26,0)</f>
        <v>0.0163194071171457</v>
      </c>
    </row>
    <row r="27" customFormat="false" ht="15" hidden="false" customHeight="true" outlineLevel="0" collapsed="false">
      <c r="B27" s="35" t="n">
        <v>3</v>
      </c>
      <c r="C27" s="36" t="n">
        <f aca="false">(C26+$C$11)*(1+$C$9-$C$8)</f>
        <v>115494.845902245</v>
      </c>
      <c r="D27" s="36" t="n">
        <f aca="false">(D26+$C$11)*(1+$F$9-$F$8)</f>
        <v>112851.295</v>
      </c>
      <c r="E27" s="36" t="n">
        <f aca="false">C27-D27</f>
        <v>2643.550902245</v>
      </c>
      <c r="F27" s="36" t="n">
        <f aca="false">IF(B27=0,0,E27-E26)</f>
        <v>1142.66505224499</v>
      </c>
      <c r="G27" s="37" t="n">
        <f aca="false">IFERROR(E27/C27,0)</f>
        <v>0.0228889079992583</v>
      </c>
    </row>
    <row r="28" customFormat="false" ht="15" hidden="false" customHeight="true" outlineLevel="0" collapsed="false">
      <c r="B28" s="35" t="n">
        <v>4</v>
      </c>
      <c r="C28" s="36" t="n">
        <f aca="false">(C27+$C$11)*(1+$C$9-$C$8)</f>
        <v>140895.285120654</v>
      </c>
      <c r="D28" s="36" t="n">
        <f aca="false">(D27+$C$11)*(1+$F$9-$F$8)</f>
        <v>136800.88565</v>
      </c>
      <c r="E28" s="36" t="n">
        <f aca="false">C28-D28</f>
        <v>4094.39947065394</v>
      </c>
      <c r="F28" s="36" t="n">
        <f aca="false">IF(B28=0,0,E28-E27)</f>
        <v>1450.84856840894</v>
      </c>
      <c r="G28" s="37" t="n">
        <f aca="false">IFERROR(E28/C28,0)</f>
        <v>0.0290598756881591</v>
      </c>
    </row>
    <row r="29" customFormat="false" ht="15" hidden="false" customHeight="true" outlineLevel="0" collapsed="false">
      <c r="B29" s="35" t="n">
        <v>5</v>
      </c>
      <c r="C29" s="36" t="n">
        <f aca="false">(C28+$C$11)*(1+$C$9-$C$8)</f>
        <v>168320.13934477</v>
      </c>
      <c r="D29" s="36" t="n">
        <f aca="false">(D28+$C$11)*(1+$F$9-$F$8)</f>
        <v>162426.9476455</v>
      </c>
      <c r="E29" s="36" t="n">
        <f aca="false">C29-D29</f>
        <v>5893.19169927007</v>
      </c>
      <c r="F29" s="36" t="n">
        <f aca="false">IF(B29=0,0,E29-E28)</f>
        <v>1798.79222861613</v>
      </c>
      <c r="G29" s="37" t="n">
        <f aca="false">IFERROR(E29/C29,0)</f>
        <v>0.0350118038293626</v>
      </c>
    </row>
    <row r="30" customFormat="false" ht="15" hidden="false" customHeight="true" outlineLevel="0" collapsed="false">
      <c r="B30" s="35" t="n">
        <v>6</v>
      </c>
      <c r="C30" s="36" t="n">
        <f aca="false">(C29+$C$11)*(1+$C$9-$C$8)</f>
        <v>197930.754450548</v>
      </c>
      <c r="D30" s="36" t="n">
        <f aca="false">(D29+$C$11)*(1+$F$9-$F$8)</f>
        <v>189846.833980685</v>
      </c>
      <c r="E30" s="36" t="n">
        <f aca="false">C30-D30</f>
        <v>8083.92046986325</v>
      </c>
      <c r="F30" s="36" t="n">
        <f aca="false">IF(B30=0,0,E30-E29)</f>
        <v>2190.72877059318</v>
      </c>
      <c r="G30" s="37" t="n">
        <f aca="false">IFERROR(E30/C30,0)</f>
        <v>0.0408421646868575</v>
      </c>
    </row>
    <row r="31" customFormat="false" ht="15" hidden="false" customHeight="true" outlineLevel="0" collapsed="false">
      <c r="B31" s="35" t="n">
        <v>7</v>
      </c>
      <c r="C31" s="36" t="n">
        <f aca="false">(C30+$C$11)*(1+$C$9-$C$8)</f>
        <v>229901.335580257</v>
      </c>
      <c r="D31" s="36" t="n">
        <f aca="false">(D30+$C$11)*(1+$F$9-$F$8)</f>
        <v>219186.112359333</v>
      </c>
      <c r="E31" s="36" t="n">
        <f aca="false">C31-D31</f>
        <v>10715.223220924</v>
      </c>
      <c r="F31" s="36" t="n">
        <f aca="false">IF(B31=0,0,E31-E30)</f>
        <v>2631.30275106075</v>
      </c>
      <c r="G31" s="37" t="n">
        <f aca="false">IFERROR(E31/C31,0)</f>
        <v>0.0466079207146815</v>
      </c>
    </row>
    <row r="32" customFormat="false" ht="15" hidden="false" customHeight="true" outlineLevel="0" collapsed="false">
      <c r="B32" s="35" t="n">
        <v>8</v>
      </c>
      <c r="C32" s="36" t="n">
        <f aca="false">(C31+$C$11)*(1+$C$9-$C$8)</f>
        <v>264419.972026003</v>
      </c>
      <c r="D32" s="36" t="n">
        <f aca="false">(D31+$C$11)*(1+$F$9-$F$8)</f>
        <v>250579.140224486</v>
      </c>
      <c r="E32" s="36" t="n">
        <f aca="false">C32-D32</f>
        <v>13840.8318015172</v>
      </c>
      <c r="F32" s="36" t="n">
        <f aca="false">IF(B32=0,0,E32-E31)</f>
        <v>3125.60858059317</v>
      </c>
      <c r="G32" s="37" t="n">
        <f aca="false">IFERROR(E32/C32,0)</f>
        <v>0.0523441239913453</v>
      </c>
    </row>
    <row r="33" customFormat="false" ht="15" hidden="false" customHeight="true" outlineLevel="0" collapsed="false">
      <c r="B33" s="35" t="n">
        <v>9</v>
      </c>
      <c r="C33" s="36" t="n">
        <f aca="false">(C32+$C$11)*(1+$C$9-$C$8)</f>
        <v>301689.743796476</v>
      </c>
      <c r="D33" s="36" t="n">
        <f aca="false">(D32+$C$11)*(1+$F$9-$F$8)</f>
        <v>284169.6800402</v>
      </c>
      <c r="E33" s="36" t="n">
        <f aca="false">C33-D33</f>
        <v>17520.0637562756</v>
      </c>
      <c r="F33" s="36" t="n">
        <f aca="false">IF(B33=0,0,E33-E32)</f>
        <v>3679.23195475846</v>
      </c>
      <c r="G33" s="37" t="n">
        <f aca="false">IFERROR(E33/C33,0)</f>
        <v>0.0580731168908907</v>
      </c>
    </row>
    <row r="34" customFormat="false" ht="15" hidden="false" customHeight="true" outlineLevel="0" collapsed="false">
      <c r="B34" s="35" t="n">
        <v>10</v>
      </c>
      <c r="C34" s="36" t="n">
        <f aca="false">(C33+$C$11)*(1+$C$9-$C$8)</f>
        <v>341929.916377055</v>
      </c>
      <c r="D34" s="36" t="n">
        <f aca="false">(D33+$C$11)*(1+$F$9-$F$8)</f>
        <v>320111.557643014</v>
      </c>
      <c r="E34" s="36" t="n">
        <f aca="false">C34-D34</f>
        <v>21818.3587340408</v>
      </c>
      <c r="F34" s="36" t="n">
        <f aca="false">IF(B34=0,0,E34-E33)</f>
        <v>4298.29497776512</v>
      </c>
      <c r="G34" s="37" t="n">
        <f aca="false">IFERROR(E34/C34,0)</f>
        <v>0.0638094465825596</v>
      </c>
    </row>
    <row r="35" customFormat="false" ht="15" hidden="false" customHeight="true" outlineLevel="0" collapsed="false">
      <c r="B35" s="35" t="n">
        <v>11</v>
      </c>
      <c r="C35" s="36" t="n">
        <f aca="false">(C34+$C$11)*(1+$C$9-$C$8)</f>
        <v>385377.230712307</v>
      </c>
      <c r="D35" s="36" t="n">
        <f aca="false">(D34+$C$11)*(1+$F$9-$F$8)</f>
        <v>358569.366678025</v>
      </c>
      <c r="E35" s="36" t="n">
        <f aca="false">C35-D35</f>
        <v>26807.8640342811</v>
      </c>
      <c r="F35" s="36" t="n">
        <f aca="false">IF(B35=0,0,E35-E34)</f>
        <v>4989.5053002403</v>
      </c>
      <c r="G35" s="37" t="n">
        <f aca="false">IFERROR(E35/C35,0)</f>
        <v>0.0695626567888589</v>
      </c>
    </row>
    <row r="36" customFormat="false" ht="15" hidden="false" customHeight="true" outlineLevel="0" collapsed="false">
      <c r="B36" s="35" t="n">
        <v>12</v>
      </c>
      <c r="C36" s="36" t="n">
        <f aca="false">(C35+$C$11)*(1+$C$9-$C$8)</f>
        <v>432287.296000077</v>
      </c>
      <c r="D36" s="36" t="n">
        <f aca="false">(D35+$C$11)*(1+$F$9-$F$8)</f>
        <v>399719.222345487</v>
      </c>
      <c r="E36" s="36" t="n">
        <f aca="false">C36-D36</f>
        <v>32568.0736545901</v>
      </c>
      <c r="F36" s="36" t="n">
        <f aca="false">IF(B36=0,0,E36-E35)</f>
        <v>5760.20962030906</v>
      </c>
      <c r="G36" s="37" t="n">
        <f aca="false">IFERROR(E36/C36,0)</f>
        <v>0.0753389561894141</v>
      </c>
    </row>
    <row r="37" customFormat="false" ht="15" hidden="false" customHeight="true" outlineLevel="0" collapsed="false">
      <c r="B37" s="35" t="n">
        <v>13</v>
      </c>
      <c r="C37" s="36" t="n">
        <f aca="false">(C36+$C$11)*(1+$C$9-$C$8)</f>
        <v>482936.093491284</v>
      </c>
      <c r="D37" s="36" t="n">
        <f aca="false">(D36+$C$11)*(1+$F$9-$F$8)</f>
        <v>443749.567909671</v>
      </c>
      <c r="E37" s="36" t="n">
        <f aca="false">C37-D37</f>
        <v>39186.5255816122</v>
      </c>
      <c r="F37" s="36" t="n">
        <f aca="false">IF(B37=0,0,E37-E36)</f>
        <v>6618.45192702208</v>
      </c>
      <c r="G37" s="37" t="n">
        <f aca="false">IFERROR(E37/C37,0)</f>
        <v>0.0811422590064072</v>
      </c>
    </row>
    <row r="38" customFormat="false" ht="15" hidden="false" customHeight="true" outlineLevel="0" collapsed="false">
      <c r="B38" s="35" t="n">
        <v>14</v>
      </c>
      <c r="C38" s="36" t="n">
        <f aca="false">(C37+$C$11)*(1+$C$9-$C$8)</f>
        <v>537621.600142539</v>
      </c>
      <c r="D38" s="36" t="n">
        <f aca="false">(D37+$C$11)*(1+$F$9-$F$8)</f>
        <v>490862.037663348</v>
      </c>
      <c r="E38" s="36" t="n">
        <f aca="false">C38-D38</f>
        <v>46759.5624791905</v>
      </c>
      <c r="F38" s="36" t="n">
        <f aca="false">IF(B38=0,0,E38-E37)</f>
        <v>7573.03689757828</v>
      </c>
      <c r="G38" s="37" t="n">
        <f aca="false">IFERROR(E38/C38,0)</f>
        <v>0.0869748582772589</v>
      </c>
    </row>
    <row r="39" customFormat="false" ht="15" hidden="false" customHeight="true" outlineLevel="0" collapsed="false">
      <c r="B39" s="35" t="n">
        <v>15</v>
      </c>
      <c r="C39" s="36" t="n">
        <f aca="false">(C38+$C$11)*(1+$C$9-$C$8)</f>
        <v>596665.541673899</v>
      </c>
      <c r="D39" s="36" t="n">
        <f aca="false">(D38+$C$11)*(1+$F$9-$F$8)</f>
        <v>541272.380299783</v>
      </c>
      <c r="E39" s="36" t="n">
        <f aca="false">C39-D39</f>
        <v>55393.1613741164</v>
      </c>
      <c r="F39" s="36" t="n">
        <f aca="false">IF(B39=0,0,E39-E38)</f>
        <v>8633.59889492596</v>
      </c>
      <c r="G39" s="37" t="n">
        <f aca="false">IFERROR(E39/C39,0)</f>
        <v>0.0928378756693661</v>
      </c>
    </row>
    <row r="40" customFormat="false" ht="15" hidden="false" customHeight="true" outlineLevel="0" collapsed="false">
      <c r="B40" s="35" t="n">
        <v>16</v>
      </c>
      <c r="C40" s="36" t="n">
        <f aca="false">(C39+$C$11)*(1+$C$9-$C$8)</f>
        <v>660415.285345309</v>
      </c>
      <c r="D40" s="36" t="n">
        <f aca="false">(D39+$C$11)*(1+$F$9-$F$8)</f>
        <v>595211.446920768</v>
      </c>
      <c r="E40" s="36" t="n">
        <f aca="false">C40-D40</f>
        <v>65203.8384245414</v>
      </c>
      <c r="F40" s="36" t="n">
        <f aca="false">IF(B40=0,0,E40-E39)</f>
        <v>9810.67705042497</v>
      </c>
      <c r="G40" s="37" t="n">
        <f aca="false">IFERROR(E40/C40,0)</f>
        <v>0.0987315706819967</v>
      </c>
    </row>
    <row r="41" customFormat="false" ht="15" hidden="false" customHeight="true" outlineLevel="0" collapsed="false">
      <c r="B41" s="35" t="n">
        <v>17</v>
      </c>
      <c r="C41" s="36" t="n">
        <f aca="false">(C40+$C$11)*(1+$C$9-$C$8)</f>
        <v>729245.88358733</v>
      </c>
      <c r="D41" s="36" t="n">
        <f aca="false">(D40+$C$11)*(1+$F$9-$F$8)</f>
        <v>652926.248205222</v>
      </c>
      <c r="E41" s="36" t="n">
        <f aca="false">C41-D41</f>
        <v>76319.6353821087</v>
      </c>
      <c r="F41" s="36" t="n">
        <f aca="false">IF(B41=0,0,E41-E40)</f>
        <v>11115.7969575673</v>
      </c>
      <c r="G41" s="37" t="n">
        <f aca="false">IFERROR(E41/C41,0)</f>
        <v>0.104655558707681</v>
      </c>
    </row>
    <row r="42" customFormat="false" ht="15" hidden="false" customHeight="true" outlineLevel="0" collapsed="false">
      <c r="B42" s="35" t="n">
        <v>18</v>
      </c>
      <c r="C42" s="36" t="n">
        <f aca="false">(C41+$C$11)*(1+$C$9-$C$8)</f>
        <v>803562.280509241</v>
      </c>
      <c r="D42" s="36" t="n">
        <f aca="false">(D41+$C$11)*(1+$F$9-$F$8)</f>
        <v>714681.085579587</v>
      </c>
      <c r="E42" s="36" t="n">
        <f aca="false">C42-D42</f>
        <v>88881.1949296536</v>
      </c>
      <c r="F42" s="36" t="n">
        <f aca="false">IF(B42=0,0,E42-E41)</f>
        <v>12561.5595475448</v>
      </c>
      <c r="G42" s="37" t="n">
        <f aca="false">IFERROR(E42/C42,0)</f>
        <v>0.110608968446512</v>
      </c>
    </row>
    <row r="43" customFormat="false" ht="15" hidden="false" customHeight="true" outlineLevel="0" collapsed="false">
      <c r="B43" s="35" t="n">
        <v>19</v>
      </c>
      <c r="C43" s="36" t="n">
        <f aca="false">(C42+$C$11)*(1+$C$9-$C$8)</f>
        <v>883801.694265827</v>
      </c>
      <c r="D43" s="36" t="n">
        <f aca="false">(D42+$C$11)*(1+$F$9-$F$8)</f>
        <v>780758.761570158</v>
      </c>
      <c r="E43" s="36" t="n">
        <f aca="false">C43-D43</f>
        <v>103042.932695669</v>
      </c>
      <c r="F43" s="36" t="n">
        <f aca="false">IF(B43=0,0,E43-E42)</f>
        <v>14161.7377660155</v>
      </c>
      <c r="G43" s="37" t="n">
        <f aca="false">IFERROR(E43/C43,0)</f>
        <v>0.116590557999854</v>
      </c>
    </row>
    <row r="44" customFormat="false" ht="15" hidden="false" customHeight="true" outlineLevel="0" collapsed="false">
      <c r="B44" s="35" t="n">
        <v>20</v>
      </c>
      <c r="C44" s="36" t="n">
        <f aca="false">(C43+$C$11)*(1+$C$9-$C$8)</f>
        <v>970436.189298814</v>
      </c>
      <c r="D44" s="36" t="n">
        <f aca="false">(D43+$C$11)*(1+$F$9-$F$8)</f>
        <v>851461.874880069</v>
      </c>
      <c r="E44" s="36" t="n">
        <f aca="false">C44-D44</f>
        <v>118974.314418744</v>
      </c>
      <c r="F44" s="36" t="n">
        <f aca="false">IF(B44=0,0,E44-E43)</f>
        <v>15931.3817230754</v>
      </c>
      <c r="G44" s="37" t="n">
        <f aca="false">IFERROR(E44/C44,0)</f>
        <v>0.122598802199152</v>
      </c>
    </row>
    <row r="45" customFormat="false" ht="15" hidden="false" customHeight="true" outlineLevel="0" collapsed="false">
      <c r="B45" s="35" t="n">
        <v>21</v>
      </c>
      <c r="C45" s="36" t="n">
        <f aca="false">(C44+$C$11)*(1+$C$9-$C$8)</f>
        <v>1063975.45358593</v>
      </c>
      <c r="D45" s="36" t="n">
        <f aca="false">(D44+$C$11)*(1+$F$9-$F$8)</f>
        <v>927114.206121674</v>
      </c>
      <c r="E45" s="36" t="n">
        <f aca="false">C45-D45</f>
        <v>136861.247464255</v>
      </c>
      <c r="F45" s="36" t="n">
        <f aca="false">IF(B45=0,0,E45-E44)</f>
        <v>17886.9330455107</v>
      </c>
      <c r="G45" s="37" t="n">
        <f aca="false">IFERROR(E45/C45,0)</f>
        <v>0.128631959509019</v>
      </c>
    </row>
    <row r="46" customFormat="false" ht="15" hidden="false" customHeight="true" outlineLevel="0" collapsed="false">
      <c r="B46" s="35" t="n">
        <v>22</v>
      </c>
      <c r="C46" s="36" t="n">
        <f aca="false">(C45+$C$11)*(1+$C$9-$C$8)</f>
        <v>1164969.79723673</v>
      </c>
      <c r="D46" s="36" t="n">
        <f aca="false">(D45+$C$11)*(1+$F$9-$F$8)</f>
        <v>1008062.20055019</v>
      </c>
      <c r="E46" s="36" t="n">
        <f aca="false">C46-D46</f>
        <v>156907.596686537</v>
      </c>
      <c r="F46" s="36" t="n">
        <f aca="false">IF(B46=0,0,E46-E45)</f>
        <v>20046.3492222815</v>
      </c>
      <c r="G46" s="37" t="n">
        <f aca="false">IFERROR(E46/C46,0)</f>
        <v>0.134688124154563</v>
      </c>
    </row>
    <row r="47" customFormat="false" ht="15" hidden="false" customHeight="true" outlineLevel="0" collapsed="false">
      <c r="B47" s="35" t="n">
        <v>23</v>
      </c>
      <c r="C47" s="36" t="n">
        <f aca="false">(C46+$C$11)*(1+$C$9-$C$8)</f>
        <v>1274013.3900765</v>
      </c>
      <c r="D47" s="36" t="n">
        <f aca="false">(D46+$C$11)*(1+$F$9-$F$8)</f>
        <v>1094676.5545887</v>
      </c>
      <c r="E47" s="36" t="n">
        <f aca="false">C47-D47</f>
        <v>179336.835487791</v>
      </c>
      <c r="F47" s="36" t="n">
        <f aca="false">IF(B47=0,0,E47-E46)</f>
        <v>22429.2388012541</v>
      </c>
      <c r="G47" s="37" t="n">
        <f aca="false">IFERROR(E47/C47,0)</f>
        <v>0.140765267370559</v>
      </c>
    </row>
    <row r="48" customFormat="false" ht="15" hidden="false" customHeight="true" outlineLevel="0" collapsed="false">
      <c r="B48" s="35" t="n">
        <v>24</v>
      </c>
      <c r="C48" s="36" t="n">
        <f aca="false">(C47+$C$11)*(1+$C$9-$C$8)</f>
        <v>1391747.75726559</v>
      </c>
      <c r="D48" s="36" t="n">
        <f aca="false">(D47+$C$11)*(1+$F$9-$F$8)</f>
        <v>1187353.91340991</v>
      </c>
      <c r="E48" s="36" t="n">
        <f aca="false">C48-D48</f>
        <v>204393.843855678</v>
      </c>
      <c r="F48" s="36" t="n">
        <f aca="false">IF(B48=0,0,E48-E47)</f>
        <v>25057.0083678872</v>
      </c>
      <c r="G48" s="37" t="n">
        <f aca="false">IFERROR(E48/C48,0)</f>
        <v>0.14686127050584</v>
      </c>
    </row>
    <row r="49" customFormat="false" ht="15" hidden="false" customHeight="true" outlineLevel="0" collapsed="false">
      <c r="B49" s="35" t="n">
        <v>25</v>
      </c>
      <c r="C49" s="36" t="n">
        <f aca="false">(C48+$C$11)*(1+$C$9-$C$8)</f>
        <v>1518865.55351966</v>
      </c>
      <c r="D49" s="36" t="n">
        <f aca="false">(D48+$C$11)*(1+$F$9-$F$8)</f>
        <v>1286518.68734861</v>
      </c>
      <c r="E49" s="36" t="n">
        <f aca="false">C49-D49</f>
        <v>232346.866171052</v>
      </c>
      <c r="F49" s="36" t="n">
        <f aca="false">IF(B49=0,0,E49-E48)</f>
        <v>27953.0223153739</v>
      </c>
      <c r="G49" s="37" t="n">
        <f aca="false">IFERROR(E49/C49,0)</f>
        <v>0.152973951929212</v>
      </c>
    </row>
    <row r="50" customFormat="false" ht="15" hidden="false" customHeight="true" outlineLevel="0" collapsed="false">
      <c r="B50" s="35" t="n">
        <v>26</v>
      </c>
      <c r="C50" s="36" t="n">
        <f aca="false">(C49+$C$11)*(1+$C$9-$C$8)</f>
        <v>1656114.63813518</v>
      </c>
      <c r="D50" s="36" t="n">
        <f aca="false">(D49+$C$11)*(1+$F$9-$F$8)</f>
        <v>1392624.99546301</v>
      </c>
      <c r="E50" s="36" t="n">
        <f aca="false">C50-D50</f>
        <v>263489.642672166</v>
      </c>
      <c r="F50" s="36" t="n">
        <f aca="false">IF(B50=0,0,E50-E49)</f>
        <v>31142.7765011145</v>
      </c>
      <c r="G50" s="37" t="n">
        <f aca="false">IFERROR(E50/C50,0)</f>
        <v>0.159101089142513</v>
      </c>
    </row>
    <row r="51" customFormat="false" ht="15" hidden="false" customHeight="true" outlineLevel="0" collapsed="false">
      <c r="B51" s="35" t="n">
        <v>27</v>
      </c>
      <c r="C51" s="36" t="n">
        <f aca="false">(C50+$C$11)*(1+$C$9-$C$8)</f>
        <v>1804302.47479455</v>
      </c>
      <c r="D51" s="36" t="n">
        <f aca="false">(D50+$C$11)*(1+$F$9-$F$8)</f>
        <v>1506158.74514542</v>
      </c>
      <c r="E51" s="36" t="n">
        <f aca="false">C51-D51</f>
        <v>298143.729649129</v>
      </c>
      <c r="F51" s="36" t="n">
        <f aca="false">IF(B51=0,0,E51-E50)</f>
        <v>34654.0869769629</v>
      </c>
      <c r="G51" s="37" t="n">
        <f aca="false">IFERROR(E51/C51,0)</f>
        <v>0.165240437129632</v>
      </c>
    </row>
    <row r="52" customFormat="false" ht="15" hidden="false" customHeight="true" outlineLevel="0" collapsed="false">
      <c r="B52" s="35" t="n">
        <v>28</v>
      </c>
      <c r="C52" s="36" t="n">
        <f aca="false">(C51+$C$11)*(1+$C$9-$C$8)</f>
        <v>1964300.88203568</v>
      </c>
      <c r="D52" s="36" t="n">
        <f aca="false">(D51+$C$11)*(1+$F$9-$F$8)</f>
        <v>1627639.8573056</v>
      </c>
      <c r="E52" s="36" t="n">
        <f aca="false">C52-D52</f>
        <v>336661.024730075</v>
      </c>
      <c r="F52" s="36" t="n">
        <f aca="false">IF(B52=0,0,E52-E51)</f>
        <v>38517.2950809463</v>
      </c>
      <c r="G52" s="37" t="n">
        <f aca="false">IFERROR(E52/C52,0)</f>
        <v>0.171389743704224</v>
      </c>
    </row>
    <row r="53" customFormat="false" ht="15" hidden="false" customHeight="true" outlineLevel="0" collapsed="false">
      <c r="B53" s="35" t="n">
        <v>29</v>
      </c>
      <c r="C53" s="36" t="n">
        <f aca="false">(C52+$C$11)*(1+$C$9-$C$8)</f>
        <v>2137051.16233392</v>
      </c>
      <c r="D53" s="36" t="n">
        <f aca="false">(D52+$C$11)*(1+$F$9-$F$8)</f>
        <v>1757624.64731699</v>
      </c>
      <c r="E53" s="36" t="n">
        <f aca="false">C53-D53</f>
        <v>379426.515016927</v>
      </c>
      <c r="F53" s="36" t="n">
        <f aca="false">IF(B53=0,0,E53-E52)</f>
        <v>42765.4902868515</v>
      </c>
      <c r="G53" s="37" t="n">
        <f aca="false">IFERROR(E53/C53,0)</f>
        <v>0.177546762428723</v>
      </c>
    </row>
    <row r="54" customFormat="false" ht="15" hidden="false" customHeight="true" outlineLevel="0" collapsed="false">
      <c r="B54" s="35" t="n">
        <v>30</v>
      </c>
      <c r="C54" s="36" t="n">
        <f aca="false">(C53+$C$11)*(1+$C$9-$C$8)</f>
        <v>2323569.63997193</v>
      </c>
      <c r="D54" s="36" t="n">
        <f aca="false">(D53+$C$11)*(1+$F$9-$F$8)</f>
        <v>1896708.37262918</v>
      </c>
      <c r="E54" s="36" t="n">
        <f aca="false">C54-D54</f>
        <v>426861.267342751</v>
      </c>
      <c r="F54" s="36" t="n">
        <f aca="false">IF(B54=0,0,E54-E53)</f>
        <v>47434.752325824</v>
      </c>
      <c r="G54" s="37" t="n">
        <f aca="false">IFERROR(E54/C54,0)</f>
        <v>0.18370926353983</v>
      </c>
    </row>
  </sheetData>
  <mergeCells count="3">
    <mergeCell ref="B5:F5"/>
    <mergeCell ref="B14:F14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2026-04-16T03:39:46Z</dcterms:created>
  <dc:creator>openpyxl</dc:creator>
  <dc:description/>
  <dc:language>en-US</dc:language>
  <cp:lastModifiedBy/>
  <dcterms:modified xsi:type="dcterms:W3CDTF">2026-04-16T03:55:56Z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