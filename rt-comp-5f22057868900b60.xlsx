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eference Data" sheetId="2" state="visible" r:id="rId4"/>
    <sheet name="Readiness Scorecard" sheetId="3" state="visible" r:id="rId5"/>
    <sheet name="Fee Drain Analyzer" sheetId="4" state="visible" r:id="rId6"/>
    <sheet name="Roth Conversion Planner" sheetId="5" state="visible" r:id="rId7"/>
    <sheet name="Social Security Optimizer" sheetId="6" state="visible" r:id="rId8"/>
    <sheet name="Full Retirement Projec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<sst xmlns="http://schemas.openxmlformats.org/spreadsheetml/2006/main" count="205" uniqueCount="202">
  <si>
    <t xml:space="preserve">THE WEALTH DRAIN — RETIREMENT TOOLKIT</t>
  </si>
  <si>
    <t xml:space="preserve">Updated for 2026 Tax Year</t>
  </si>
  <si>
    <t xml:space="preserve">WELCOME</t>
  </si>
  <si>
    <t xml:space="preserve">HOW TO USE THIS TOOLKIT</t>
  </si>
  <si>
    <t xml:space="preserve">This workbook contains 6 tabs. Each one is a standalone tool, but they also work together — your inputs on the Reference Data tab feed into every other sheet automatically.</t>
  </si>
  <si>
    <t xml:space="preserve">Step 1: Start with the Reference Data tab</t>
  </si>
  <si>
    <t xml:space="preserve">Enter your personal details (age, income, filing status, state). These flow into every calculator in the workbook. The 2026 federal tax brackets and Social Security figures are pre-loaded — you only need to update them once a year (instructions below).</t>
  </si>
  <si>
    <t xml:space="preserve">Step 2: Explore each tab</t>
  </si>
  <si>
    <t xml:space="preserve">• Retirement Readiness Scorecard — Your overall financial health dashboard. Grades your savings rate, projects your freedom number, and shows where you stand.</t>
  </si>
  <si>
    <t xml:space="preserve">• Fee Drain Analyzer — Compare up to 4 funds side-by-side. See exactly how much fees cost you over your investment timeline.</t>
  </si>
  <si>
    <t xml:space="preserve">• Roth Conversion Planner — Model year-by-year Roth conversions and see the tax impact of different conversion amounts.</t>
  </si>
  <si>
    <t xml:space="preserve">• Social Security Optimizer — Compare claiming at 62, 67, and 70. Find your break-even age and see lifetime benefit projections.</t>
  </si>
  <si>
    <t xml:space="preserve">• Full Retirement Projection — Your complete year-by-year retirement timeline with contributions, growth, withdrawals, and taxes.</t>
  </si>
  <si>
    <t xml:space="preserve">Step 3: Edit the blue numbers</t>
  </si>
  <si>
    <t xml:space="preserve">Every number you can change is in BLUE TEXT on a YELLOW BACKGROUND. Everything else is a formula — don't overwrite it. If you accidentally break something, re-download a fresh copy.</t>
  </si>
  <si>
    <t xml:space="preserve">HOW TO UPDATE FOR A NEW TAX YEAR</t>
  </si>
  <si>
    <t xml:space="preserve">The IRS announces new tax brackets every October/November. To update this toolkit:</t>
  </si>
  <si>
    <t xml:space="preserve">1. Go to the 'Reference Data' tab</t>
  </si>
  <si>
    <t xml:space="preserve">2. Scroll to the 'Federal Tax Brackets' section</t>
  </si>
  <si>
    <t xml:space="preserve">3. Update the bracket thresholds and rates for the new year (all cells are in blue/yellow)</t>
  </si>
  <si>
    <t xml:space="preserve">4. Update the Standard Deduction amount</t>
  </si>
  <si>
    <t xml:space="preserve">5. Update Social Security figures (FRA, bend points, max benefit) if they've changed</t>
  </si>
  <si>
    <t xml:space="preserve">6. That's it — every other tab recalculates automatically</t>
  </si>
  <si>
    <t xml:space="preserve">Where to find updated numbers:</t>
  </si>
  <si>
    <t xml:space="preserve">• Federal tax brackets: IRS.gov → search 'tax brackets [year]' or 'Revenue Procedure'</t>
  </si>
  <si>
    <t xml:space="preserve">• Standard deduction: Same IRS page as brackets</t>
  </si>
  <si>
    <t xml:space="preserve">• Social Security: SSA.gov → search 'benefit amounts [year]'</t>
  </si>
  <si>
    <t xml:space="preserve">• COLA adjustment: SSA.gov → search 'cost of living adjustment'</t>
  </si>
  <si>
    <t xml:space="preserve">IMPORTANT DISCLAIMER</t>
  </si>
  <si>
    <t xml:space="preserve">This toolkit is for educational and planning purposes only. It does not constitute financial, tax, or legal advice. Consult a qualified professional before making financial decisions. Tax calculations are estimates and may not reflect your complete tax situation.</t>
  </si>
  <si>
    <t xml:space="preserve">SUPPORT</t>
  </si>
  <si>
    <t xml:space="preserve">Questions? Email hello@thewealthdrain.com or leave a comment on any YouTube video.</t>
  </si>
  <si>
    <t xml:space="preserve">YouTube: youtube.com/@TheQuietDrain</t>
  </si>
  <si>
    <t xml:space="preserve">REFERENCE DATA &amp; PERSONAL INPUTS</t>
  </si>
  <si>
    <t xml:space="preserve">All blue/yellow cells are editable. These values feed every tab in the workbook.</t>
  </si>
  <si>
    <t xml:space="preserve">YOUR PERSONAL INFORMATION</t>
  </si>
  <si>
    <t xml:space="preserve">Current Age</t>
  </si>
  <si>
    <t xml:space="preserve">Retirement Age (Target)</t>
  </si>
  <si>
    <t xml:space="preserve">Annual Gross Income ($)</t>
  </si>
  <si>
    <t xml:space="preserve">Filing Status</t>
  </si>
  <si>
    <t xml:space="preserve">Single</t>
  </si>
  <si>
    <t xml:space="preserve">State</t>
  </si>
  <si>
    <t xml:space="preserve">No State Income Tax</t>
  </si>
  <si>
    <t xml:space="preserve">Current Retirement Savings ($)</t>
  </si>
  <si>
    <t xml:space="preserve">Monthly Contribution ($)</t>
  </si>
  <si>
    <t xml:space="preserve">Employer Match (%)</t>
  </si>
  <si>
    <t xml:space="preserve">Expected Annual Return (%)</t>
  </si>
  <si>
    <t xml:space="preserve">Expected Inflation (%)</t>
  </si>
  <si>
    <t xml:space="preserve">Annual Expenses in Retirement ($)</t>
  </si>
  <si>
    <t xml:space="preserve">Filing Status options: Single, Married Filing Jointly, Married Filing Separately, Head of Household</t>
  </si>
  <si>
    <t xml:space="preserve">2026 FEDERAL TAX BRACKETS (Single)</t>
  </si>
  <si>
    <t xml:space="preserve">Tax Rate</t>
  </si>
  <si>
    <t xml:space="preserve">From ($)</t>
  </si>
  <si>
    <t xml:space="preserve">To ($)</t>
  </si>
  <si>
    <t xml:space="preserve">Notes</t>
  </si>
  <si>
    <t xml:space="preserve">Top bracket</t>
  </si>
  <si>
    <t xml:space="preserve">Standard Deduction (2026)</t>
  </si>
  <si>
    <t xml:space="preserve">SOCIAL SECURITY REFERENCE (2026)</t>
  </si>
  <si>
    <t xml:space="preserve">Full Retirement Age (FRA)</t>
  </si>
  <si>
    <t xml:space="preserve">Born 1960 or later</t>
  </si>
  <si>
    <t xml:space="preserve">Max Monthly Benefit at FRA</t>
  </si>
  <si>
    <t xml:space="preserve">2026 figure</t>
  </si>
  <si>
    <t xml:space="preserve">Early Claiming Age</t>
  </si>
  <si>
    <t xml:space="preserve">Early Claiming Reduction (%)</t>
  </si>
  <si>
    <t xml:space="preserve">30% reduction at 62 if FRA is 67</t>
  </si>
  <si>
    <t xml:space="preserve">Delayed Retirement Credits (%/yr)</t>
  </si>
  <si>
    <t xml:space="preserve">8% per year past FRA up to 70</t>
  </si>
  <si>
    <t xml:space="preserve">COLA Estimate (%)</t>
  </si>
  <si>
    <t xml:space="preserve">Historical average ~2-3%</t>
  </si>
  <si>
    <t xml:space="preserve">Earnings Test Limit (under FRA)</t>
  </si>
  <si>
    <t xml:space="preserve">2026 limit</t>
  </si>
  <si>
    <t xml:space="preserve">First Bend Point ($)</t>
  </si>
  <si>
    <t xml:space="preserve">2026 PIA formula</t>
  </si>
  <si>
    <t xml:space="preserve">Second Bend Point ($)</t>
  </si>
  <si>
    <t xml:space="preserve">LAST UPDATED: January 2026</t>
  </si>
  <si>
    <t xml:space="preserve">Next update needed: October/November 2026 (when IRS releases 2027 brackets)</t>
  </si>
  <si>
    <t xml:space="preserve">RETIREMENT READINESS SCORECARD</t>
  </si>
  <si>
    <t xml:space="preserve">Your financial health at a glance. All data pulls from the Reference Data tab.</t>
  </si>
  <si>
    <t xml:space="preserve">KEY METRICS</t>
  </si>
  <si>
    <t xml:space="preserve">Years to Retirement</t>
  </si>
  <si>
    <t xml:space="preserve">Annual Contribution ($)</t>
  </si>
  <si>
    <t xml:space="preserve">Employer Match Contribution ($)</t>
  </si>
  <si>
    <t xml:space="preserve">Total Annual Savings ($)</t>
  </si>
  <si>
    <t xml:space="preserve">SAVINGS RATE GRADE</t>
  </si>
  <si>
    <t xml:space="preserve">Savings Rate</t>
  </si>
  <si>
    <t xml:space="preserve">Grade:</t>
  </si>
  <si>
    <t xml:space="preserve">Target: 20%+ of gross income for on-track retirement</t>
  </si>
  <si>
    <t xml:space="preserve">YOUR FREEDOM NUMBER</t>
  </si>
  <si>
    <t xml:space="preserve">Annual Expenses in Retirement</t>
  </si>
  <si>
    <t xml:space="preserve">Freedom Number (25x expenses)</t>
  </si>
  <si>
    <t xml:space="preserve">Based on the 4% rule</t>
  </si>
  <si>
    <t xml:space="preserve">Projected Portfolio at Retirement</t>
  </si>
  <si>
    <t xml:space="preserve">Gap to Freedom Number</t>
  </si>
  <si>
    <t xml:space="preserve">Status:</t>
  </si>
  <si>
    <t xml:space="preserve">PASSIVE INCOME PROJECTION</t>
  </si>
  <si>
    <t xml:space="preserve">Monthly Freedom Income (4% rule)</t>
  </si>
  <si>
    <t xml:space="preserve">Yearly Passive Cashflow</t>
  </si>
  <si>
    <t xml:space="preserve">Covers Monthly Expenses?</t>
  </si>
  <si>
    <t xml:space="preserve">Need/mo</t>
  </si>
  <si>
    <t xml:space="preserve">COMPOUND INTEREST MILESTONES</t>
  </si>
  <si>
    <t xml:space="preserve">Years to $100K</t>
  </si>
  <si>
    <t xml:space="preserve">The $100K barrier — after this, compounding accelerates</t>
  </si>
  <si>
    <t xml:space="preserve">Years to $500K</t>
  </si>
  <si>
    <t xml:space="preserve">Years to $1,000,000</t>
  </si>
  <si>
    <t xml:space="preserve">Years to Freedom Number</t>
  </si>
  <si>
    <t xml:space="preserve">FEE DRAIN ANALYZER</t>
  </si>
  <si>
    <t xml:space="preserve">See how much fees silently eat from your portfolio. Compare up to 4 funds.</t>
  </si>
  <si>
    <t xml:space="preserve">FUND COMPARISON</t>
  </si>
  <si>
    <t xml:space="preserve">Fund A</t>
  </si>
  <si>
    <t xml:space="preserve">Fund B</t>
  </si>
  <si>
    <t xml:space="preserve">Fund C</t>
  </si>
  <si>
    <t xml:space="preserve">Fund D</t>
  </si>
  <si>
    <t xml:space="preserve">Fund Name</t>
  </si>
  <si>
    <t xml:space="preserve">VTI (Total Market)</t>
  </si>
  <si>
    <t xml:space="preserve">VFIAX (S&amp;P 500)</t>
  </si>
  <si>
    <t xml:space="preserve">Growth Fund X</t>
  </si>
  <si>
    <t xml:space="preserve">Managed Fund Y</t>
  </si>
  <si>
    <t xml:space="preserve">Expense Ratio (%)</t>
  </si>
  <si>
    <t xml:space="preserve">Annual Return (%)</t>
  </si>
  <si>
    <t xml:space="preserve">Initial Investment ($)</t>
  </si>
  <si>
    <t xml:space="preserve">Annual Addition ($)</t>
  </si>
  <si>
    <t xml:space="preserve">Time Horizon (Years)</t>
  </si>
  <si>
    <t xml:space="preserve">RESULTS</t>
  </si>
  <si>
    <t xml:space="preserve">Final Balance ($)</t>
  </si>
  <si>
    <t xml:space="preserve">Balance Without Fees ($)</t>
  </si>
  <si>
    <t xml:space="preserve">MONEY LOST TO FEES ($)</t>
  </si>
  <si>
    <t xml:space="preserve">% of Wealth Lost to Fees</t>
  </si>
  <si>
    <t xml:space="preserve">Effective Net Return</t>
  </si>
  <si>
    <t xml:space="preserve">YEAR-BY-YEAR: LOWEST FEE vs HIGHEST FEE</t>
  </si>
  <si>
    <t xml:space="preserve">Year</t>
  </si>
  <si>
    <t xml:space="preserve">Low-Fee Balance</t>
  </si>
  <si>
    <t xml:space="preserve">High-Fee Balance</t>
  </si>
  <si>
    <t xml:space="preserve">Cumulative Fee Drain</t>
  </si>
  <si>
    <t xml:space="preserve">Fee Drain This Year</t>
  </si>
  <si>
    <t xml:space="preserve">Lost as % of Total</t>
  </si>
  <si>
    <t xml:space="preserve">ROTH CONVERSION PLANNER</t>
  </si>
  <si>
    <t xml:space="preserve">Model the tax impact of converting Traditional IRA/401k funds to Roth.</t>
  </si>
  <si>
    <t xml:space="preserve">CONVERSION INPUTS</t>
  </si>
  <si>
    <t xml:space="preserve">Traditional IRA Balance ($)</t>
  </si>
  <si>
    <t xml:space="preserve">Other Taxable Income ($)</t>
  </si>
  <si>
    <t xml:space="preserve">Annual Conversion Amount ($)</t>
  </si>
  <si>
    <t xml:space="preserve">Years to Convert Over</t>
  </si>
  <si>
    <t xml:space="preserve">Expected Return During Conversion (%)</t>
  </si>
  <si>
    <t xml:space="preserve">Tax Rate in Retirement (est.) (%)</t>
  </si>
  <si>
    <t xml:space="preserve">Current Marginal Tax Rate (%)</t>
  </si>
  <si>
    <t xml:space="preserve">SCENARIO COMPARISON</t>
  </si>
  <si>
    <t xml:space="preserve">No Conversion</t>
  </si>
  <si>
    <t xml:space="preserve">Partial Conversion</t>
  </si>
  <si>
    <t xml:space="preserve">Full Conversion</t>
  </si>
  <si>
    <t xml:space="preserve">Starting Balance</t>
  </si>
  <si>
    <t xml:space="preserve">Amount Converted</t>
  </si>
  <si>
    <t xml:space="preserve">Tax Paid on Conversion</t>
  </si>
  <si>
    <t xml:space="preserve">Remaining Trad. IRA (after convert)</t>
  </si>
  <si>
    <t xml:space="preserve">Roth Balance (grows tax-free)</t>
  </si>
  <si>
    <t xml:space="preserve">Trad. IRA After Growth (20yr)</t>
  </si>
  <si>
    <t xml:space="preserve">Roth After Growth (20yr)</t>
  </si>
  <si>
    <t xml:space="preserve">Tax on Trad. Withdrawal</t>
  </si>
  <si>
    <t xml:space="preserve">NET After-Tax Total</t>
  </si>
  <si>
    <t xml:space="preserve">TAX SAVINGS vs No Conversion</t>
  </si>
  <si>
    <t xml:space="preserve">WHEN ROTH CONVERSION MAKES SENSE:</t>
  </si>
  <si>
    <t xml:space="preserve">• Your current tax rate is LOWER than your expected retirement tax rate</t>
  </si>
  <si>
    <t xml:space="preserve">• You expect tax rates to increase in the future (e.g., TCJA sunset after 2025)</t>
  </si>
  <si>
    <t xml:space="preserve">• You have a low-income year (job change, sabbatical, early retirement gap)</t>
  </si>
  <si>
    <t xml:space="preserve">• You want to reduce future Required Minimum Distributions (RMDs)</t>
  </si>
  <si>
    <t xml:space="preserve">• You want to leave tax-free assets to heirs</t>
  </si>
  <si>
    <t xml:space="preserve">SOCIAL SECURITY OPTIMIZER</t>
  </si>
  <si>
    <t xml:space="preserve">Compare claiming ages and find your break-even point.</t>
  </si>
  <si>
    <t xml:space="preserve">YOUR SOCIAL SECURITY INPUTS</t>
  </si>
  <si>
    <t xml:space="preserve">Estimated Monthly Benefit at FRA ($)</t>
  </si>
  <si>
    <t xml:space="preserve">Life Expectancy</t>
  </si>
  <si>
    <t xml:space="preserve">COLA Assumption (%)</t>
  </si>
  <si>
    <t xml:space="preserve">CLAIMING AGE COMPARISON</t>
  </si>
  <si>
    <t xml:space="preserve">Claim at 62</t>
  </si>
  <si>
    <t xml:space="preserve">Claim at 67 (FRA)</t>
  </si>
  <si>
    <t xml:space="preserve">Claim at 70</t>
  </si>
  <si>
    <t xml:space="preserve">Monthly Benefit (starting)</t>
  </si>
  <si>
    <t xml:space="preserve">Annual Benefit (starting)</t>
  </si>
  <si>
    <t xml:space="preserve">Reduction/Increase (%)</t>
  </si>
  <si>
    <t xml:space="preserve">Total Collected by Age 75</t>
  </si>
  <si>
    <t xml:space="preserve">Total Collected by Age 80</t>
  </si>
  <si>
    <t xml:space="preserve">Total Collected by Age 85</t>
  </si>
  <si>
    <t xml:space="preserve">Total Collected by Age 90</t>
  </si>
  <si>
    <t xml:space="preserve">TOTAL LIFETIME (to life expectancy)</t>
  </si>
  <si>
    <t xml:space="preserve">BEST CLAIMING STRATEGY:</t>
  </si>
  <si>
    <t xml:space="preserve">BREAK-EVEN ANALYSIS</t>
  </si>
  <si>
    <t xml:space="preserve">62 vs 67 Break-Even Age</t>
  </si>
  <si>
    <t xml:space="preserve">67 vs 70 Break-Even Age</t>
  </si>
  <si>
    <t xml:space="preserve">If you live past the break-even age, waiting was the better choice.</t>
  </si>
  <si>
    <t xml:space="preserve">FULL RETIREMENT PROJECTION</t>
  </si>
  <si>
    <t xml:space="preserve">Year-by-year timeline from now through retirement, showing contributions, growth, withdrawals, and taxes.</t>
  </si>
  <si>
    <t xml:space="preserve">Annual Fee Rate (%)</t>
  </si>
  <si>
    <t xml:space="preserve">Withdrawal Rate in Retirement (%)</t>
  </si>
  <si>
    <t xml:space="preserve">Age</t>
  </si>
  <si>
    <t xml:space="preserve">Contribution</t>
  </si>
  <si>
    <t xml:space="preserve">Employer Match</t>
  </si>
  <si>
    <t xml:space="preserve">Growth</t>
  </si>
  <si>
    <t xml:space="preserve">Fees Paid</t>
  </si>
  <si>
    <t xml:space="preserve">Withdrawal</t>
  </si>
  <si>
    <t xml:space="preserve">Tax on Withdrawal</t>
  </si>
  <si>
    <t xml:space="preserve">Net Cashflow</t>
  </si>
  <si>
    <t xml:space="preserve">Portfolio Balance</t>
  </si>
  <si>
    <t xml:space="preserve">TOTALS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</si>
</sst>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0.0%"/>
    <numFmt numFmtId="167" formatCode="0"/>
    <numFmt numFmtId="168" formatCode="\$#,##0;&quot;($&quot;#,##0\);\-"/>
    <numFmt numFmtId="169" formatCode="0.0"/>
    <numFmt numFmtId="170" formatCode="0.0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6366F1"/>
      <name val="Arial"/>
      <family val="0"/>
      <charset val="1"/>
    </font>
    <font>
      <b val="true"/>
      <sz val="11"/>
      <color rgb="FF10B981"/>
      <name val="Arial"/>
      <family val="0"/>
      <charset val="1"/>
    </font>
    <font>
      <b val="true"/>
      <sz val="14"/>
      <color rgb="FF0F172A"/>
      <name val="Arial"/>
      <family val="0"/>
      <charset val="1"/>
    </font>
    <font>
      <b val="true"/>
      <sz val="12"/>
      <color rgb="FF0F172A"/>
      <name val="Arial"/>
      <family val="0"/>
      <charset val="1"/>
    </font>
    <font>
      <sz val="10"/>
      <color rgb="FF475569"/>
      <name val="Arial"/>
      <family val="0"/>
      <charset val="1"/>
    </font>
    <font>
      <b val="true"/>
      <sz val="16"/>
      <color rgb="FF0F172A"/>
      <name val="Arial"/>
      <family val="0"/>
      <charset val="1"/>
    </font>
    <font>
      <i val="true"/>
      <sz val="9"/>
      <color rgb="FF94A3B8"/>
      <name val="Arial"/>
      <family val="0"/>
      <charset val="1"/>
    </font>
    <font>
      <b val="true"/>
      <sz val="11"/>
      <color rgb="FF6366F1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6366F1"/>
      <name val="Arial"/>
      <family val="0"/>
      <charset val="1"/>
    </font>
    <font>
      <b val="true"/>
      <sz val="16"/>
      <color rgb="FF6366F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0B981"/>
      <name val="Arial"/>
      <family val="0"/>
      <charset val="1"/>
    </font>
    <font>
      <b val="true"/>
      <sz val="10"/>
      <color rgb="FFEF4444"/>
      <name val="Arial"/>
      <family val="0"/>
      <charset val="1"/>
    </font>
    <font>
      <b val="true"/>
      <sz val="12"/>
      <color rgb="FFEF4444"/>
      <name val="Arial"/>
      <family val="0"/>
      <charset val="1"/>
    </font>
    <font>
      <sz val="10"/>
      <color rgb="FF0F172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F172A"/>
      <name val="Arial"/>
      <family val="0"/>
      <charset val="1"/>
    </font>
    <font>
      <b val="true"/>
      <sz val="10"/>
      <color rgb="FF6366F1"/>
      <name val="Arial"/>
      <family val="0"/>
      <charset val="1"/>
    </font>
    <font>
      <b val="true"/>
      <sz val="12"/>
      <color rgb="FF10B981"/>
      <name val="Arial"/>
      <family val="0"/>
      <charset val="1"/>
    </font>
    <font>
      <b val="true"/>
      <sz val="11"/>
      <color rgb="FF0F172A"/>
      <name val="Arial"/>
      <family val="0"/>
      <charset val="1"/>
    </font>
    <font>
      <sz val="10"/>
      <color rgb="FFEF444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1F5F9"/>
        <bgColor rgb="FFFFFFFF"/>
      </patternFill>
    </fill>
    <fill>
      <patternFill patternType="solid">
        <fgColor rgb="FFFFFFF0"/>
        <bgColor rgb="FFFFFFFF"/>
      </patternFill>
    </fill>
    <fill>
      <patternFill patternType="solid">
        <fgColor rgb="FF0F172A"/>
        <bgColor rgb="FF000000"/>
      </patternFill>
    </fill>
    <fill>
      <patternFill patternType="solid">
        <fgColor rgb="FF6366F1"/>
        <bgColor rgb="FF3B82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366F1"/>
      <rgbColor rgb="FF9999FF"/>
      <rgbColor rgb="FF993366"/>
      <rgbColor rgb="FFFFFFF0"/>
      <rgbColor rgb="FFF1F5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CFFCC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F59E0B"/>
      <rgbColor rgb="FFEF4444"/>
      <rgbColor rgb="FF475569"/>
      <rgbColor rgb="FF94A3B8"/>
      <rgbColor rgb="FF003366"/>
      <rgbColor rgb="FF10B981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66F1"/>
    <pageSetUpPr fitToPage="false"/>
  </sheetPr>
  <dimension ref="B2:B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2" customFormat="false" ht="24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7.25" hidden="false" customHeight="true" outlineLevel="0" collapsed="false">
      <c r="B5" s="4" t="s">
        <v>2</v>
      </c>
    </row>
    <row r="7" customFormat="false" ht="15" hidden="false" customHeight="true" outlineLevel="0" collapsed="false">
      <c r="B7" s="5" t="s">
        <v>3</v>
      </c>
    </row>
    <row r="8" customFormat="false" ht="23.25" hidden="false" customHeight="true" outlineLevel="0" collapsed="false">
      <c r="B8" s="6" t="s">
        <v>4</v>
      </c>
    </row>
    <row r="10" customFormat="false" ht="15" hidden="false" customHeight="true" outlineLevel="0" collapsed="false">
      <c r="B10" s="6" t="s">
        <v>5</v>
      </c>
    </row>
    <row r="11" customFormat="false" ht="34.5" hidden="false" customHeight="true" outlineLevel="0" collapsed="false">
      <c r="B11" s="6" t="s">
        <v>6</v>
      </c>
    </row>
    <row r="13" customFormat="false" ht="15" hidden="false" customHeight="true" outlineLevel="0" collapsed="false">
      <c r="B13" s="6" t="s">
        <v>7</v>
      </c>
    </row>
    <row r="14" customFormat="false" ht="23.25" hidden="false" customHeight="true" outlineLevel="0" collapsed="false">
      <c r="B14" s="6" t="s">
        <v>8</v>
      </c>
    </row>
    <row r="15" customFormat="false" ht="23.25" hidden="false" customHeight="true" outlineLevel="0" collapsed="false">
      <c r="B15" s="6" t="s">
        <v>9</v>
      </c>
    </row>
    <row r="16" customFormat="false" ht="23.25" hidden="false" customHeight="true" outlineLevel="0" collapsed="false">
      <c r="B16" s="6" t="s">
        <v>10</v>
      </c>
    </row>
    <row r="17" customFormat="false" ht="23.25" hidden="false" customHeight="true" outlineLevel="0" collapsed="false">
      <c r="B17" s="6" t="s">
        <v>11</v>
      </c>
    </row>
    <row r="18" customFormat="false" ht="23.25" hidden="false" customHeight="true" outlineLevel="0" collapsed="false">
      <c r="B18" s="6" t="s">
        <v>12</v>
      </c>
    </row>
    <row r="20" customFormat="false" ht="15" hidden="false" customHeight="true" outlineLevel="0" collapsed="false">
      <c r="B20" s="6" t="s">
        <v>13</v>
      </c>
    </row>
    <row r="21" customFormat="false" ht="23.25" hidden="false" customHeight="true" outlineLevel="0" collapsed="false">
      <c r="B21" s="6" t="s">
        <v>14</v>
      </c>
    </row>
    <row r="23" customFormat="false" ht="15" hidden="false" customHeight="true" outlineLevel="0" collapsed="false">
      <c r="B23" s="5" t="s">
        <v>15</v>
      </c>
    </row>
    <row r="24" customFormat="false" ht="15" hidden="false" customHeight="true" outlineLevel="0" collapsed="false">
      <c r="B24" s="6" t="s">
        <v>16</v>
      </c>
    </row>
    <row r="25" customFormat="false" ht="15" hidden="false" customHeight="true" outlineLevel="0" collapsed="false">
      <c r="B25" s="6" t="s">
        <v>17</v>
      </c>
    </row>
    <row r="26" customFormat="false" ht="15" hidden="false" customHeight="true" outlineLevel="0" collapsed="false">
      <c r="B26" s="6" t="s">
        <v>18</v>
      </c>
    </row>
    <row r="27" customFormat="false" ht="15" hidden="false" customHeight="true" outlineLevel="0" collapsed="false">
      <c r="B27" s="6" t="s">
        <v>19</v>
      </c>
    </row>
    <row r="28" customFormat="false" ht="15" hidden="false" customHeight="true" outlineLevel="0" collapsed="false">
      <c r="B28" s="6" t="s">
        <v>20</v>
      </c>
    </row>
    <row r="29" customFormat="false" ht="15" hidden="false" customHeight="true" outlineLevel="0" collapsed="false">
      <c r="B29" s="6" t="s">
        <v>21</v>
      </c>
    </row>
    <row r="30" customFormat="false" ht="15" hidden="false" customHeight="true" outlineLevel="0" collapsed="false">
      <c r="B30" s="6" t="s">
        <v>22</v>
      </c>
    </row>
    <row r="32" customFormat="false" ht="15" hidden="false" customHeight="true" outlineLevel="0" collapsed="false">
      <c r="B32" s="6" t="s">
        <v>23</v>
      </c>
    </row>
    <row r="33" customFormat="false" ht="15" hidden="false" customHeight="true" outlineLevel="0" collapsed="false">
      <c r="B33" s="6" t="s">
        <v>24</v>
      </c>
    </row>
    <row r="34" customFormat="false" ht="15" hidden="false" customHeight="true" outlineLevel="0" collapsed="false">
      <c r="B34" s="6" t="s">
        <v>25</v>
      </c>
    </row>
    <row r="35" customFormat="false" ht="15" hidden="false" customHeight="true" outlineLevel="0" collapsed="false">
      <c r="B35" s="6" t="s">
        <v>26</v>
      </c>
    </row>
    <row r="36" customFormat="false" ht="15" hidden="false" customHeight="true" outlineLevel="0" collapsed="false">
      <c r="B36" s="6" t="s">
        <v>27</v>
      </c>
    </row>
    <row r="38" customFormat="false" ht="15" hidden="false" customHeight="true" outlineLevel="0" collapsed="false">
      <c r="B38" s="5" t="s">
        <v>28</v>
      </c>
    </row>
    <row r="39" customFormat="false" ht="34.5" hidden="false" customHeight="true" outlineLevel="0" collapsed="false">
      <c r="B39" s="6" t="s">
        <v>29</v>
      </c>
    </row>
    <row r="41" customFormat="false" ht="15" hidden="false" customHeight="true" outlineLevel="0" collapsed="false">
      <c r="B41" s="5" t="s">
        <v>30</v>
      </c>
    </row>
    <row r="42" customFormat="false" ht="15" hidden="false" customHeight="true" outlineLevel="0" collapsed="false">
      <c r="B42" s="6" t="s">
        <v>31</v>
      </c>
    </row>
    <row r="43" customFormat="false" ht="15" hidden="false" customHeight="true" outlineLevel="0" collapsed="false">
      <c r="B43" s="6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B2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5"/>
    <col collapsed="false" customWidth="true" hidden="false" outlineLevel="0" max="6" min="3" style="1" width="20"/>
  </cols>
  <sheetData>
    <row r="2" customFormat="false" ht="19.5" hidden="false" customHeight="true" outlineLevel="0" collapsed="false">
      <c r="B2" s="7" t="s">
        <v>33</v>
      </c>
    </row>
    <row r="3" customFormat="false" ht="15" hidden="false" customHeight="true" outlineLevel="0" collapsed="false">
      <c r="B3" s="8" t="s">
        <v>34</v>
      </c>
    </row>
    <row r="5" customFormat="false" ht="15" hidden="false" customHeight="true" outlineLevel="0" collapsed="false">
      <c r="B5" s="9" t="s">
        <v>35</v>
      </c>
      <c r="C5" s="9"/>
    </row>
    <row r="6" customFormat="false" ht="15" hidden="false" customHeight="true" outlineLevel="0" collapsed="false">
      <c r="B6" s="6" t="s">
        <v>36</v>
      </c>
      <c r="C6" s="10" t="n">
        <v>30</v>
      </c>
    </row>
    <row r="7" customFormat="false" ht="15" hidden="false" customHeight="true" outlineLevel="0" collapsed="false">
      <c r="B7" s="6" t="s">
        <v>37</v>
      </c>
      <c r="C7" s="10" t="n">
        <v>65</v>
      </c>
    </row>
    <row r="8" customFormat="false" ht="15" hidden="false" customHeight="true" outlineLevel="0" collapsed="false">
      <c r="B8" s="6" t="s">
        <v>38</v>
      </c>
      <c r="C8" s="11" t="n">
        <v>75000</v>
      </c>
    </row>
    <row r="9" customFormat="false" ht="15" hidden="false" customHeight="true" outlineLevel="0" collapsed="false">
      <c r="B9" s="6" t="s">
        <v>39</v>
      </c>
      <c r="C9" s="12" t="s">
        <v>40</v>
      </c>
    </row>
    <row r="10" customFormat="false" ht="15" hidden="false" customHeight="true" outlineLevel="0" collapsed="false">
      <c r="B10" s="6" t="s">
        <v>41</v>
      </c>
      <c r="C10" s="12" t="s">
        <v>42</v>
      </c>
    </row>
    <row r="11" customFormat="false" ht="15" hidden="false" customHeight="true" outlineLevel="0" collapsed="false">
      <c r="B11" s="6" t="s">
        <v>43</v>
      </c>
      <c r="C11" s="11" t="n">
        <v>50000</v>
      </c>
    </row>
    <row r="12" customFormat="false" ht="15" hidden="false" customHeight="true" outlineLevel="0" collapsed="false">
      <c r="B12" s="6" t="s">
        <v>44</v>
      </c>
      <c r="C12" s="11" t="n">
        <v>1250</v>
      </c>
    </row>
    <row r="13" customFormat="false" ht="15" hidden="false" customHeight="true" outlineLevel="0" collapsed="false">
      <c r="B13" s="6" t="s">
        <v>45</v>
      </c>
      <c r="C13" s="13" t="n">
        <v>0.03</v>
      </c>
    </row>
    <row r="14" customFormat="false" ht="15" hidden="false" customHeight="true" outlineLevel="0" collapsed="false">
      <c r="B14" s="6" t="s">
        <v>46</v>
      </c>
      <c r="C14" s="13" t="n">
        <v>0.08</v>
      </c>
    </row>
    <row r="15" customFormat="false" ht="15" hidden="false" customHeight="true" outlineLevel="0" collapsed="false">
      <c r="B15" s="6" t="s">
        <v>47</v>
      </c>
      <c r="C15" s="13" t="n">
        <v>0.03</v>
      </c>
    </row>
    <row r="16" customFormat="false" ht="15" hidden="false" customHeight="true" outlineLevel="0" collapsed="false">
      <c r="B16" s="6" t="s">
        <v>48</v>
      </c>
      <c r="C16" s="11" t="n">
        <v>48000</v>
      </c>
    </row>
    <row r="17" customFormat="false" ht="15" hidden="false" customHeight="true" outlineLevel="0" collapsed="false">
      <c r="B17" s="8" t="s">
        <v>49</v>
      </c>
    </row>
    <row r="19" customFormat="false" ht="15" hidden="false" customHeight="true" outlineLevel="0" collapsed="false">
      <c r="B19" s="9" t="s">
        <v>50</v>
      </c>
      <c r="C19" s="9"/>
      <c r="D19" s="9"/>
      <c r="E19" s="9"/>
    </row>
    <row r="20" customFormat="false" ht="15" hidden="false" customHeight="true" outlineLevel="0" collapsed="false">
      <c r="B20" s="14" t="s">
        <v>51</v>
      </c>
      <c r="C20" s="14" t="s">
        <v>52</v>
      </c>
      <c r="D20" s="14" t="s">
        <v>53</v>
      </c>
      <c r="E20" s="14" t="s">
        <v>54</v>
      </c>
    </row>
    <row r="21" customFormat="false" ht="15" hidden="false" customHeight="true" outlineLevel="0" collapsed="false">
      <c r="B21" s="15" t="n">
        <v>0.1</v>
      </c>
      <c r="C21" s="16" t="n">
        <v>0</v>
      </c>
      <c r="D21" s="16" t="n">
        <v>11925</v>
      </c>
      <c r="E21" s="17"/>
    </row>
    <row r="22" customFormat="false" ht="15" hidden="false" customHeight="true" outlineLevel="0" collapsed="false">
      <c r="B22" s="15" t="n">
        <v>0.12</v>
      </c>
      <c r="C22" s="16" t="n">
        <v>11926</v>
      </c>
      <c r="D22" s="16" t="n">
        <v>48475</v>
      </c>
      <c r="E22" s="17"/>
    </row>
    <row r="23" customFormat="false" ht="15" hidden="false" customHeight="true" outlineLevel="0" collapsed="false">
      <c r="B23" s="15" t="n">
        <v>0.22</v>
      </c>
      <c r="C23" s="16" t="n">
        <v>48476</v>
      </c>
      <c r="D23" s="16" t="n">
        <v>103350</v>
      </c>
      <c r="E23" s="17"/>
    </row>
    <row r="24" customFormat="false" ht="15" hidden="false" customHeight="true" outlineLevel="0" collapsed="false">
      <c r="B24" s="15" t="n">
        <v>0.24</v>
      </c>
      <c r="C24" s="16" t="n">
        <v>103351</v>
      </c>
      <c r="D24" s="16" t="n">
        <v>197300</v>
      </c>
      <c r="E24" s="17"/>
    </row>
    <row r="25" customFormat="false" ht="15" hidden="false" customHeight="true" outlineLevel="0" collapsed="false">
      <c r="B25" s="15" t="n">
        <v>0.32</v>
      </c>
      <c r="C25" s="16" t="n">
        <v>197301</v>
      </c>
      <c r="D25" s="16" t="n">
        <v>250525</v>
      </c>
      <c r="E25" s="17"/>
    </row>
    <row r="26" customFormat="false" ht="15" hidden="false" customHeight="true" outlineLevel="0" collapsed="false">
      <c r="B26" s="15" t="n">
        <v>0.35</v>
      </c>
      <c r="C26" s="16" t="n">
        <v>250526</v>
      </c>
      <c r="D26" s="16" t="n">
        <v>626350</v>
      </c>
      <c r="E26" s="17"/>
    </row>
    <row r="27" customFormat="false" ht="15" hidden="false" customHeight="true" outlineLevel="0" collapsed="false">
      <c r="B27" s="15" t="n">
        <v>0.37</v>
      </c>
      <c r="C27" s="16" t="n">
        <v>626351</v>
      </c>
      <c r="D27" s="16" t="n">
        <v>99999999</v>
      </c>
      <c r="E27" s="17" t="s">
        <v>55</v>
      </c>
    </row>
    <row r="29" customFormat="false" ht="15" hidden="false" customHeight="true" outlineLevel="0" collapsed="false">
      <c r="B29" s="6" t="s">
        <v>56</v>
      </c>
      <c r="C29" s="11" t="n">
        <v>15700</v>
      </c>
    </row>
    <row r="31" customFormat="false" ht="15" hidden="false" customHeight="true" outlineLevel="0" collapsed="false">
      <c r="B31" s="9" t="s">
        <v>57</v>
      </c>
      <c r="C31" s="9"/>
      <c r="D31" s="9"/>
      <c r="E31" s="9"/>
    </row>
    <row r="32" customFormat="false" ht="15" hidden="false" customHeight="true" outlineLevel="0" collapsed="false">
      <c r="B32" s="6" t="s">
        <v>58</v>
      </c>
      <c r="C32" s="10" t="n">
        <v>67</v>
      </c>
      <c r="E32" s="8" t="s">
        <v>59</v>
      </c>
    </row>
    <row r="33" customFormat="false" ht="15" hidden="false" customHeight="true" outlineLevel="0" collapsed="false">
      <c r="B33" s="6" t="s">
        <v>60</v>
      </c>
      <c r="C33" s="11" t="n">
        <v>4018</v>
      </c>
      <c r="E33" s="8" t="s">
        <v>61</v>
      </c>
    </row>
    <row r="34" customFormat="false" ht="15" hidden="false" customHeight="true" outlineLevel="0" collapsed="false">
      <c r="B34" s="6" t="s">
        <v>62</v>
      </c>
      <c r="C34" s="10" t="n">
        <v>62</v>
      </c>
      <c r="E34" s="8"/>
    </row>
    <row r="35" customFormat="false" ht="15" hidden="false" customHeight="true" outlineLevel="0" collapsed="false">
      <c r="B35" s="6" t="s">
        <v>63</v>
      </c>
      <c r="C35" s="13" t="n">
        <v>0.3</v>
      </c>
      <c r="E35" s="8" t="s">
        <v>64</v>
      </c>
    </row>
    <row r="36" customFormat="false" ht="15" hidden="false" customHeight="true" outlineLevel="0" collapsed="false">
      <c r="B36" s="6" t="s">
        <v>65</v>
      </c>
      <c r="C36" s="13" t="n">
        <v>0.08</v>
      </c>
      <c r="E36" s="8" t="s">
        <v>66</v>
      </c>
    </row>
    <row r="37" customFormat="false" ht="15" hidden="false" customHeight="true" outlineLevel="0" collapsed="false">
      <c r="B37" s="6" t="s">
        <v>67</v>
      </c>
      <c r="C37" s="13" t="n">
        <v>0.025</v>
      </c>
      <c r="E37" s="8" t="s">
        <v>68</v>
      </c>
    </row>
    <row r="38" customFormat="false" ht="15" hidden="false" customHeight="true" outlineLevel="0" collapsed="false">
      <c r="B38" s="6" t="s">
        <v>69</v>
      </c>
      <c r="C38" s="11" t="n">
        <v>23400</v>
      </c>
      <c r="E38" s="8" t="s">
        <v>70</v>
      </c>
    </row>
    <row r="39" customFormat="false" ht="15" hidden="false" customHeight="true" outlineLevel="0" collapsed="false">
      <c r="B39" s="6" t="s">
        <v>71</v>
      </c>
      <c r="C39" s="11" t="n">
        <v>1226</v>
      </c>
      <c r="E39" s="8" t="s">
        <v>72</v>
      </c>
    </row>
    <row r="40" customFormat="false" ht="15" hidden="false" customHeight="true" outlineLevel="0" collapsed="false">
      <c r="B40" s="6" t="s">
        <v>73</v>
      </c>
      <c r="C40" s="11" t="n">
        <v>7391</v>
      </c>
      <c r="E40" s="8" t="s">
        <v>72</v>
      </c>
    </row>
    <row r="43" customFormat="false" ht="15" hidden="false" customHeight="true" outlineLevel="0" collapsed="false">
      <c r="B43" s="3" t="s">
        <v>74</v>
      </c>
    </row>
    <row r="44" customFormat="false" ht="15" hidden="false" customHeight="true" outlineLevel="0" collapsed="false">
      <c r="B44" s="8" t="s">
        <v>75</v>
      </c>
    </row>
  </sheetData>
  <mergeCells count="3">
    <mergeCell ref="B5:C5"/>
    <mergeCell ref="B19:E19"/>
    <mergeCell ref="B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66F1"/>
    <pageSetUpPr fitToPage="false"/>
  </sheetPr>
  <dimension ref="B2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5" min="3" style="1" width="20"/>
    <col collapsed="false" customWidth="true" hidden="false" outlineLevel="0" max="6" min="6" style="1" width="25"/>
  </cols>
  <sheetData>
    <row r="2" customFormat="false" ht="19.5" hidden="false" customHeight="true" outlineLevel="0" collapsed="false">
      <c r="B2" s="7" t="s">
        <v>76</v>
      </c>
    </row>
    <row r="3" customFormat="false" ht="15" hidden="false" customHeight="true" outlineLevel="0" collapsed="false">
      <c r="B3" s="8" t="s">
        <v>77</v>
      </c>
    </row>
    <row r="5" customFormat="false" ht="15" hidden="false" customHeight="true" outlineLevel="0" collapsed="false">
      <c r="B5" s="9" t="s">
        <v>78</v>
      </c>
      <c r="C5" s="9"/>
    </row>
    <row r="6" customFormat="false" ht="15" hidden="false" customHeight="true" outlineLevel="0" collapsed="false">
      <c r="B6" s="18" t="s">
        <v>79</v>
      </c>
      <c r="C6" s="19" t="n">
        <f aca="false">'Reference Data'!C7-'Reference Data'!C6</f>
        <v>35</v>
      </c>
    </row>
    <row r="7" customFormat="false" ht="15" hidden="false" customHeight="true" outlineLevel="0" collapsed="false">
      <c r="B7" s="18" t="s">
        <v>80</v>
      </c>
      <c r="C7" s="20" t="n">
        <f aca="false">'Reference Data'!C12*12</f>
        <v>15000</v>
      </c>
    </row>
    <row r="8" customFormat="false" ht="15" hidden="false" customHeight="true" outlineLevel="0" collapsed="false">
      <c r="B8" s="18" t="s">
        <v>81</v>
      </c>
      <c r="C8" s="20" t="n">
        <f aca="false">'Reference Data'!C8*'Reference Data'!C13</f>
        <v>2250</v>
      </c>
    </row>
    <row r="9" customFormat="false" ht="15" hidden="false" customHeight="true" outlineLevel="0" collapsed="false">
      <c r="B9" s="18" t="s">
        <v>82</v>
      </c>
      <c r="C9" s="21" t="n">
        <f aca="false">C7+C8</f>
        <v>17250</v>
      </c>
    </row>
    <row r="11" customFormat="false" ht="15" hidden="false" customHeight="true" outlineLevel="0" collapsed="false">
      <c r="B11" s="9" t="s">
        <v>83</v>
      </c>
      <c r="C11" s="9"/>
      <c r="D11" s="9"/>
      <c r="E11" s="9"/>
    </row>
    <row r="12" customFormat="false" ht="19.5" hidden="false" customHeight="true" outlineLevel="0" collapsed="false">
      <c r="B12" s="18" t="s">
        <v>84</v>
      </c>
      <c r="C12" s="22" t="n">
        <f aca="false">C9/'Reference Data'!C8</f>
        <v>0.23</v>
      </c>
      <c r="D12" s="18" t="s">
        <v>85</v>
      </c>
      <c r="E12" s="5" t="str">
        <f aca="false">IF(C12&gt;=0.25,"A — Excellent",IF(C12&gt;=0.2,"B — Great",IF(C12&gt;=0.15,"C — Good",IF(C12&gt;=0.1,"D — Needs Work","F — Critical"))))</f>
        <v>B — Great</v>
      </c>
    </row>
    <row r="13" customFormat="false" ht="15" hidden="false" customHeight="true" outlineLevel="0" collapsed="false">
      <c r="B13" s="8" t="s">
        <v>86</v>
      </c>
    </row>
    <row r="15" customFormat="false" ht="15" hidden="false" customHeight="true" outlineLevel="0" collapsed="false">
      <c r="B15" s="9" t="s">
        <v>87</v>
      </c>
      <c r="C15" s="9"/>
      <c r="D15" s="9"/>
      <c r="E15" s="9"/>
    </row>
    <row r="16" customFormat="false" ht="15" hidden="false" customHeight="true" outlineLevel="0" collapsed="false">
      <c r="B16" s="18" t="s">
        <v>88</v>
      </c>
      <c r="C16" s="20" t="n">
        <f aca="false">'Reference Data'!C16</f>
        <v>48000</v>
      </c>
    </row>
    <row r="17" customFormat="false" ht="19.5" hidden="false" customHeight="true" outlineLevel="0" collapsed="false">
      <c r="B17" s="18" t="s">
        <v>89</v>
      </c>
      <c r="C17" s="23" t="n">
        <f aca="false">C16*25</f>
        <v>1200000</v>
      </c>
      <c r="E17" s="8" t="s">
        <v>90</v>
      </c>
    </row>
    <row r="19" customFormat="false" ht="19.5" hidden="false" customHeight="true" outlineLevel="0" collapsed="false">
      <c r="B19" s="18" t="s">
        <v>91</v>
      </c>
      <c r="C19" s="23" t="n">
        <f aca="false">FV('Reference Data'!C14,C6,-C9,-'Reference Data'!C11)</f>
        <v>3711732.0781789</v>
      </c>
    </row>
    <row r="20" customFormat="false" ht="15" hidden="false" customHeight="true" outlineLevel="0" collapsed="false">
      <c r="B20" s="18" t="s">
        <v>92</v>
      </c>
      <c r="C20" s="24" t="n">
        <f aca="false">C19-C17</f>
        <v>2511732.0781789</v>
      </c>
      <c r="D20" s="18" t="s">
        <v>93</v>
      </c>
      <c r="E20" s="25" t="str">
        <f aca="false">IF(C20&gt;=0,"ON TRACK","BEHIND — Increase savings or timeline")</f>
        <v>ON TRACK</v>
      </c>
    </row>
    <row r="22" customFormat="false" ht="15" hidden="false" customHeight="true" outlineLevel="0" collapsed="false">
      <c r="B22" s="9" t="s">
        <v>94</v>
      </c>
      <c r="C22" s="9"/>
      <c r="D22" s="9"/>
      <c r="E22" s="9"/>
    </row>
    <row r="23" customFormat="false" ht="19.5" hidden="false" customHeight="true" outlineLevel="0" collapsed="false">
      <c r="B23" s="18" t="s">
        <v>95</v>
      </c>
      <c r="C23" s="23" t="n">
        <f aca="false">C19*0.04/12</f>
        <v>12372.4402605963</v>
      </c>
    </row>
    <row r="24" customFormat="false" ht="15" hidden="false" customHeight="true" outlineLevel="0" collapsed="false">
      <c r="B24" s="18" t="s">
        <v>96</v>
      </c>
      <c r="C24" s="20" t="n">
        <f aca="false">C19*0.04</f>
        <v>148469.283127156</v>
      </c>
    </row>
    <row r="25" customFormat="false" ht="15" hidden="false" customHeight="true" outlineLevel="0" collapsed="false">
      <c r="B25" s="18" t="s">
        <v>97</v>
      </c>
      <c r="C25" s="20" t="n">
        <f aca="false">C16/12</f>
        <v>4000</v>
      </c>
      <c r="D25" s="8" t="s">
        <v>98</v>
      </c>
      <c r="E25" s="25" t="str">
        <f aca="false">IF(C23&gt;=C25,"YES — Fully funded","NO — Shortfall of "&amp;TEXT(C25-C23,"$#,##0")&amp;"/mo")</f>
        <v>YES — Fully funded</v>
      </c>
    </row>
    <row r="27" customFormat="false" ht="15" hidden="false" customHeight="true" outlineLevel="0" collapsed="false">
      <c r="B27" s="9" t="s">
        <v>99</v>
      </c>
      <c r="C27" s="9"/>
      <c r="D27" s="9"/>
      <c r="E27" s="9"/>
    </row>
    <row r="28" customFormat="false" ht="15" hidden="false" customHeight="true" outlineLevel="0" collapsed="false">
      <c r="B28" s="18" t="s">
        <v>100</v>
      </c>
      <c r="C28" s="26" t="n">
        <f aca="false">IFERROR(NPER('Reference Data'!C14,-(C9),-('Reference Data'!C11),100000),"Already there!")</f>
        <v>2.24099437591911</v>
      </c>
      <c r="E28" s="8" t="s">
        <v>101</v>
      </c>
    </row>
    <row r="29" customFormat="false" ht="15" hidden="false" customHeight="true" outlineLevel="0" collapsed="false">
      <c r="B29" s="18" t="s">
        <v>102</v>
      </c>
      <c r="C29" s="26" t="n">
        <f aca="false">IFERROR(NPER('Reference Data'!C14,-(C9),-('Reference Data'!C11),500000),"Already there!")</f>
        <v>12.8775641861565</v>
      </c>
    </row>
    <row r="30" customFormat="false" ht="15" hidden="false" customHeight="true" outlineLevel="0" collapsed="false">
      <c r="B30" s="18" t="s">
        <v>103</v>
      </c>
      <c r="C30" s="26" t="n">
        <f aca="false">IFERROR(NPER('Reference Data'!C14,-(C9),-('Reference Data'!C11),1000000),"Already there!")</f>
        <v>19.7623117446907</v>
      </c>
    </row>
    <row r="31" customFormat="false" ht="15" hidden="false" customHeight="true" outlineLevel="0" collapsed="false">
      <c r="B31" s="18" t="s">
        <v>104</v>
      </c>
      <c r="C31" s="26" t="n">
        <f aca="false">IFERROR(NPER('Reference Data'!C14,-(C9),-('Reference Data'!C11),C17),"Already there!")</f>
        <v>21.7414011594918</v>
      </c>
      <c r="E31" s="27" t="str">
        <f aca="false">IF(ISNUMBER(C31),"You'll hit freedom at age "&amp;TEXT('Reference Data'!C6+C31,"0"),"")</f>
        <v>You'll hit freedom at age 52</v>
      </c>
    </row>
  </sheetData>
  <mergeCells count="5">
    <mergeCell ref="B5:C5"/>
    <mergeCell ref="B11:E11"/>
    <mergeCell ref="B15:E15"/>
    <mergeCell ref="B22:E22"/>
    <mergeCell ref="B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B2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6" min="3" style="1" width="18"/>
    <col collapsed="false" customWidth="true" hidden="false" outlineLevel="0" max="7" min="7" style="1" width="22"/>
  </cols>
  <sheetData>
    <row r="2" customFormat="false" ht="19.5" hidden="false" customHeight="true" outlineLevel="0" collapsed="false">
      <c r="B2" s="7" t="s">
        <v>105</v>
      </c>
    </row>
    <row r="3" customFormat="false" ht="15" hidden="false" customHeight="true" outlineLevel="0" collapsed="false">
      <c r="B3" s="8" t="s">
        <v>106</v>
      </c>
    </row>
    <row r="5" customFormat="false" ht="15" hidden="false" customHeight="true" outlineLevel="0" collapsed="false">
      <c r="B5" s="9" t="s">
        <v>107</v>
      </c>
      <c r="C5" s="9"/>
      <c r="D5" s="9"/>
      <c r="E5" s="9"/>
      <c r="F5" s="9"/>
    </row>
    <row r="6" customFormat="false" ht="15" hidden="false" customHeight="true" outlineLevel="0" collapsed="false">
      <c r="B6" s="14"/>
      <c r="C6" s="14" t="s">
        <v>108</v>
      </c>
      <c r="D6" s="14" t="s">
        <v>109</v>
      </c>
      <c r="E6" s="14" t="s">
        <v>110</v>
      </c>
      <c r="F6" s="14" t="s">
        <v>111</v>
      </c>
    </row>
    <row r="7" customFormat="false" ht="15" hidden="false" customHeight="true" outlineLevel="0" collapsed="false">
      <c r="B7" s="6" t="s">
        <v>112</v>
      </c>
      <c r="C7" s="12" t="s">
        <v>113</v>
      </c>
      <c r="D7" s="12" t="s">
        <v>114</v>
      </c>
      <c r="E7" s="12" t="s">
        <v>115</v>
      </c>
      <c r="F7" s="12" t="s">
        <v>116</v>
      </c>
    </row>
    <row r="8" customFormat="false" ht="15" hidden="false" customHeight="true" outlineLevel="0" collapsed="false">
      <c r="B8" s="6" t="s">
        <v>117</v>
      </c>
      <c r="C8" s="28" t="n">
        <v>0.0003</v>
      </c>
      <c r="D8" s="28" t="n">
        <v>0.0004</v>
      </c>
      <c r="E8" s="28" t="n">
        <v>0.0075</v>
      </c>
      <c r="F8" s="28" t="n">
        <v>0.01</v>
      </c>
    </row>
    <row r="9" customFormat="false" ht="15" hidden="false" customHeight="true" outlineLevel="0" collapsed="false">
      <c r="B9" s="6" t="s">
        <v>118</v>
      </c>
      <c r="C9" s="28" t="n">
        <v>0.08</v>
      </c>
      <c r="D9" s="28" t="n">
        <v>0.08</v>
      </c>
      <c r="E9" s="28" t="n">
        <v>0.08</v>
      </c>
      <c r="F9" s="28" t="n">
        <v>0.08</v>
      </c>
    </row>
    <row r="10" customFormat="false" ht="15" hidden="false" customHeight="true" outlineLevel="0" collapsed="false">
      <c r="B10" s="6" t="s">
        <v>119</v>
      </c>
      <c r="C10" s="11" t="n">
        <v>50000</v>
      </c>
    </row>
    <row r="11" customFormat="false" ht="15" hidden="false" customHeight="true" outlineLevel="0" collapsed="false">
      <c r="B11" s="6" t="s">
        <v>120</v>
      </c>
      <c r="C11" s="11" t="n">
        <v>15000</v>
      </c>
    </row>
    <row r="12" customFormat="false" ht="15" hidden="false" customHeight="true" outlineLevel="0" collapsed="false">
      <c r="B12" s="6" t="s">
        <v>121</v>
      </c>
      <c r="C12" s="10" t="n">
        <v>30</v>
      </c>
    </row>
    <row r="14" customFormat="false" ht="15" hidden="false" customHeight="true" outlineLevel="0" collapsed="false">
      <c r="B14" s="9" t="s">
        <v>122</v>
      </c>
      <c r="C14" s="9"/>
      <c r="D14" s="9"/>
      <c r="E14" s="9"/>
      <c r="F14" s="9"/>
    </row>
    <row r="15" customFormat="false" ht="15" hidden="false" customHeight="true" outlineLevel="0" collapsed="false">
      <c r="C15" s="1" t="str">
        <f aca="false">B7</f>
        <v>Fund Name</v>
      </c>
      <c r="D15" s="1" t="str">
        <f aca="false">B7</f>
        <v>Fund Name</v>
      </c>
      <c r="E15" s="1" t="str">
        <f aca="false">B7</f>
        <v>Fund Name</v>
      </c>
      <c r="F15" s="1" t="str">
        <f aca="false">B7</f>
        <v>Fund Name</v>
      </c>
    </row>
    <row r="16" customFormat="false" ht="15" hidden="false" customHeight="true" outlineLevel="0" collapsed="false">
      <c r="B16" s="18" t="s">
        <v>123</v>
      </c>
      <c r="C16" s="29" t="n">
        <f aca="false">FV(C9-C8,$C$12,-$C$11,-$C$10)</f>
        <v>2188882.56558892</v>
      </c>
      <c r="D16" s="29" t="n">
        <f aca="false">FV(D9-D8,$C$12,-$C$11,-$C$10)</f>
        <v>2184403.04527176</v>
      </c>
      <c r="E16" s="29" t="n">
        <f aca="false">FV(E9-E8,$C$12,-$C$11,-$C$10)</f>
        <v>1890484.3087238</v>
      </c>
      <c r="F16" s="29" t="n">
        <f aca="false">FV(F9-F8,$C$12,-$C$11,-$C$10)</f>
        <v>1797524.54698925</v>
      </c>
    </row>
    <row r="17" customFormat="false" ht="15" hidden="false" customHeight="true" outlineLevel="0" collapsed="false">
      <c r="B17" s="18" t="s">
        <v>124</v>
      </c>
      <c r="C17" s="29" t="n">
        <f aca="false">FV(C9,$C$12,-$C$11,-$C$10)</f>
        <v>2202381.01115494</v>
      </c>
      <c r="D17" s="29" t="n">
        <f aca="false">FV(D9,$C$12,-$C$11,-$C$10)</f>
        <v>2202381.01115494</v>
      </c>
      <c r="E17" s="29" t="n">
        <f aca="false">FV(E9,$C$12,-$C$11,-$C$10)</f>
        <v>2202381.01115494</v>
      </c>
      <c r="F17" s="29" t="n">
        <f aca="false">FV(F9,$C$12,-$C$11,-$C$10)</f>
        <v>2202381.01115494</v>
      </c>
    </row>
    <row r="18" customFormat="false" ht="15" hidden="false" customHeight="true" outlineLevel="0" collapsed="false">
      <c r="B18" s="30" t="s">
        <v>125</v>
      </c>
      <c r="C18" s="31" t="n">
        <f aca="false">C17-C16</f>
        <v>13498.4455660237</v>
      </c>
      <c r="D18" s="31" t="n">
        <f aca="false">D17-D16</f>
        <v>17977.965883188</v>
      </c>
      <c r="E18" s="31" t="n">
        <f aca="false">E17-E16</f>
        <v>311896.702431143</v>
      </c>
      <c r="F18" s="31" t="n">
        <f aca="false">F17-F16</f>
        <v>404856.464165691</v>
      </c>
    </row>
    <row r="19" customFormat="false" ht="15" hidden="false" customHeight="true" outlineLevel="0" collapsed="false">
      <c r="B19" s="18" t="s">
        <v>126</v>
      </c>
      <c r="C19" s="32" t="n">
        <f aca="false">IFERROR(C18/C17,0)</f>
        <v>0.00612902376911841</v>
      </c>
      <c r="D19" s="32" t="n">
        <f aca="false">IFERROR(D18/D17,0)</f>
        <v>0.00816296807506535</v>
      </c>
      <c r="E19" s="32" t="n">
        <f aca="false">IFERROR(E18/E17,0)</f>
        <v>0.141617958405654</v>
      </c>
      <c r="F19" s="32" t="n">
        <f aca="false">IFERROR(F18/F17,0)</f>
        <v>0.183826713958717</v>
      </c>
    </row>
    <row r="20" customFormat="false" ht="15" hidden="false" customHeight="true" outlineLevel="0" collapsed="false">
      <c r="B20" s="18" t="s">
        <v>127</v>
      </c>
      <c r="C20" s="33" t="n">
        <f aca="false">C9-C8</f>
        <v>0.0797</v>
      </c>
      <c r="D20" s="33" t="n">
        <f aca="false">D9-D8</f>
        <v>0.0796</v>
      </c>
      <c r="E20" s="33" t="n">
        <f aca="false">E9-E8</f>
        <v>0.0725</v>
      </c>
      <c r="F20" s="33" t="n">
        <f aca="false">F9-F8</f>
        <v>0.07</v>
      </c>
    </row>
    <row r="22" customFormat="false" ht="15" hidden="false" customHeight="true" outlineLevel="0" collapsed="false">
      <c r="B22" s="9" t="s">
        <v>128</v>
      </c>
      <c r="C22" s="9"/>
      <c r="D22" s="9"/>
      <c r="E22" s="9"/>
      <c r="F22" s="9"/>
      <c r="G22" s="9"/>
    </row>
    <row r="23" customFormat="false" ht="15" hidden="false" customHeight="true" outlineLevel="0" collapsed="false">
      <c r="B23" s="34" t="s">
        <v>129</v>
      </c>
      <c r="C23" s="34" t="s">
        <v>130</v>
      </c>
      <c r="D23" s="34" t="s">
        <v>131</v>
      </c>
      <c r="E23" s="34" t="s">
        <v>132</v>
      </c>
      <c r="F23" s="34" t="s">
        <v>133</v>
      </c>
      <c r="G23" s="34" t="s">
        <v>134</v>
      </c>
    </row>
    <row r="24" customFormat="false" ht="15" hidden="false" customHeight="true" outlineLevel="0" collapsed="false">
      <c r="B24" s="35" t="n">
        <v>0</v>
      </c>
      <c r="C24" s="36" t="n">
        <f aca="false">$C$10</f>
        <v>50000</v>
      </c>
      <c r="D24" s="36" t="n">
        <f aca="false">$C$10</f>
        <v>50000</v>
      </c>
      <c r="E24" s="36" t="n">
        <f aca="false">C24-D24</f>
        <v>0</v>
      </c>
      <c r="F24" s="36" t="n">
        <f aca="false">IF(B24=0,0,E24-E24)</f>
        <v>0</v>
      </c>
      <c r="G24" s="37" t="n">
        <f aca="false">IFERROR(E24/C24,0)</f>
        <v>0</v>
      </c>
    </row>
    <row r="25" customFormat="false" ht="15" hidden="false" customHeight="true" outlineLevel="0" collapsed="false">
      <c r="B25" s="35" t="n">
        <v>1</v>
      </c>
      <c r="C25" s="36" t="n">
        <f aca="false">(C24+$C$11)*(1+$C$9-$C$8)</f>
        <v>70180.5</v>
      </c>
      <c r="D25" s="36" t="n">
        <f aca="false">(D24+$C$11)*(1+$F$9-$F$8)</f>
        <v>69550</v>
      </c>
      <c r="E25" s="36" t="n">
        <f aca="false">C25-D25</f>
        <v>630.5</v>
      </c>
      <c r="F25" s="36" t="n">
        <f aca="false">IF(B25=0,0,E25-E24)</f>
        <v>630.5</v>
      </c>
      <c r="G25" s="37" t="n">
        <f aca="false">IFERROR(E25/C25,0)</f>
        <v>0.00898397703065666</v>
      </c>
    </row>
    <row r="26" customFormat="false" ht="15" hidden="false" customHeight="true" outlineLevel="0" collapsed="false">
      <c r="B26" s="35" t="n">
        <v>2</v>
      </c>
      <c r="C26" s="36" t="n">
        <f aca="false">(C25+$C$11)*(1+$C$9-$C$8)</f>
        <v>91969.38585</v>
      </c>
      <c r="D26" s="36" t="n">
        <f aca="false">(D25+$C$11)*(1+$F$9-$F$8)</f>
        <v>90468.5</v>
      </c>
      <c r="E26" s="36" t="n">
        <f aca="false">C26-D26</f>
        <v>1500.88585000001</v>
      </c>
      <c r="F26" s="36" t="n">
        <f aca="false">IF(B26=0,0,E26-E25)</f>
        <v>870.385850000006</v>
      </c>
      <c r="G26" s="37" t="n">
        <f aca="false">IFERROR(E26/C26,0)</f>
        <v>0.0163194071171457</v>
      </c>
    </row>
    <row r="27" customFormat="false" ht="15" hidden="false" customHeight="true" outlineLevel="0" collapsed="false">
      <c r="B27" s="35" t="n">
        <v>3</v>
      </c>
      <c r="C27" s="36" t="n">
        <f aca="false">(C26+$C$11)*(1+$C$9-$C$8)</f>
        <v>115494.845902245</v>
      </c>
      <c r="D27" s="36" t="n">
        <f aca="false">(D26+$C$11)*(1+$F$9-$F$8)</f>
        <v>112851.295</v>
      </c>
      <c r="E27" s="36" t="n">
        <f aca="false">C27-D27</f>
        <v>2643.550902245</v>
      </c>
      <c r="F27" s="36" t="n">
        <f aca="false">IF(B27=0,0,E27-E26)</f>
        <v>1142.66505224499</v>
      </c>
      <c r="G27" s="37" t="n">
        <f aca="false">IFERROR(E27/C27,0)</f>
        <v>0.0228889079992583</v>
      </c>
    </row>
    <row r="28" customFormat="false" ht="15" hidden="false" customHeight="true" outlineLevel="0" collapsed="false">
      <c r="B28" s="35" t="n">
        <v>4</v>
      </c>
      <c r="C28" s="36" t="n">
        <f aca="false">(C27+$C$11)*(1+$C$9-$C$8)</f>
        <v>140895.285120654</v>
      </c>
      <c r="D28" s="36" t="n">
        <f aca="false">(D27+$C$11)*(1+$F$9-$F$8)</f>
        <v>136800.88565</v>
      </c>
      <c r="E28" s="36" t="n">
        <f aca="false">C28-D28</f>
        <v>4094.39947065394</v>
      </c>
      <c r="F28" s="36" t="n">
        <f aca="false">IF(B28=0,0,E28-E27)</f>
        <v>1450.84856840894</v>
      </c>
      <c r="G28" s="37" t="n">
        <f aca="false">IFERROR(E28/C28,0)</f>
        <v>0.0290598756881591</v>
      </c>
    </row>
    <row r="29" customFormat="false" ht="15" hidden="false" customHeight="true" outlineLevel="0" collapsed="false">
      <c r="B29" s="35" t="n">
        <v>5</v>
      </c>
      <c r="C29" s="36" t="n">
        <f aca="false">(C28+$C$11)*(1+$C$9-$C$8)</f>
        <v>168320.13934477</v>
      </c>
      <c r="D29" s="36" t="n">
        <f aca="false">(D28+$C$11)*(1+$F$9-$F$8)</f>
        <v>162426.9476455</v>
      </c>
      <c r="E29" s="36" t="n">
        <f aca="false">C29-D29</f>
        <v>5893.19169927007</v>
      </c>
      <c r="F29" s="36" t="n">
        <f aca="false">IF(B29=0,0,E29-E28)</f>
        <v>1798.79222861613</v>
      </c>
      <c r="G29" s="37" t="n">
        <f aca="false">IFERROR(E29/C29,0)</f>
        <v>0.0350118038293626</v>
      </c>
    </row>
    <row r="30" customFormat="false" ht="15" hidden="false" customHeight="true" outlineLevel="0" collapsed="false">
      <c r="B30" s="35" t="n">
        <v>6</v>
      </c>
      <c r="C30" s="36" t="n">
        <f aca="false">(C29+$C$11)*(1+$C$9-$C$8)</f>
        <v>197930.754450548</v>
      </c>
      <c r="D30" s="36" t="n">
        <f aca="false">(D29+$C$11)*(1+$F$9-$F$8)</f>
        <v>189846.833980685</v>
      </c>
      <c r="E30" s="36" t="n">
        <f aca="false">C30-D30</f>
        <v>8083.92046986325</v>
      </c>
      <c r="F30" s="36" t="n">
        <f aca="false">IF(B30=0,0,E30-E29)</f>
        <v>2190.72877059318</v>
      </c>
      <c r="G30" s="37" t="n">
        <f aca="false">IFERROR(E30/C30,0)</f>
        <v>0.0408421646868575</v>
      </c>
    </row>
    <row r="31" customFormat="false" ht="15" hidden="false" customHeight="true" outlineLevel="0" collapsed="false">
      <c r="B31" s="35" t="n">
        <v>7</v>
      </c>
      <c r="C31" s="36" t="n">
        <f aca="false">(C30+$C$11)*(1+$C$9-$C$8)</f>
        <v>229901.335580257</v>
      </c>
      <c r="D31" s="36" t="n">
        <f aca="false">(D30+$C$11)*(1+$F$9-$F$8)</f>
        <v>219186.112359333</v>
      </c>
      <c r="E31" s="36" t="n">
        <f aca="false">C31-D31</f>
        <v>10715.223220924</v>
      </c>
      <c r="F31" s="36" t="n">
        <f aca="false">IF(B31=0,0,E31-E30)</f>
        <v>2631.30275106075</v>
      </c>
      <c r="G31" s="37" t="n">
        <f aca="false">IFERROR(E31/C31,0)</f>
        <v>0.0466079207146815</v>
      </c>
    </row>
    <row r="32" customFormat="false" ht="15" hidden="false" customHeight="true" outlineLevel="0" collapsed="false">
      <c r="B32" s="35" t="n">
        <v>8</v>
      </c>
      <c r="C32" s="36" t="n">
        <f aca="false">(C31+$C$11)*(1+$C$9-$C$8)</f>
        <v>264419.972026003</v>
      </c>
      <c r="D32" s="36" t="n">
        <f aca="false">(D31+$C$11)*(1+$F$9-$F$8)</f>
        <v>250579.140224486</v>
      </c>
      <c r="E32" s="36" t="n">
        <f aca="false">C32-D32</f>
        <v>13840.8318015172</v>
      </c>
      <c r="F32" s="36" t="n">
        <f aca="false">IF(B32=0,0,E32-E31)</f>
        <v>3125.60858059317</v>
      </c>
      <c r="G32" s="37" t="n">
        <f aca="false">IFERROR(E32/C32,0)</f>
        <v>0.0523441239913453</v>
      </c>
    </row>
    <row r="33" customFormat="false" ht="15" hidden="false" customHeight="true" outlineLevel="0" collapsed="false">
      <c r="B33" s="35" t="n">
        <v>9</v>
      </c>
      <c r="C33" s="36" t="n">
        <f aca="false">(C32+$C$11)*(1+$C$9-$C$8)</f>
        <v>301689.743796476</v>
      </c>
      <c r="D33" s="36" t="n">
        <f aca="false">(D32+$C$11)*(1+$F$9-$F$8)</f>
        <v>284169.6800402</v>
      </c>
      <c r="E33" s="36" t="n">
        <f aca="false">C33-D33</f>
        <v>17520.0637562756</v>
      </c>
      <c r="F33" s="36" t="n">
        <f aca="false">IF(B33=0,0,E33-E32)</f>
        <v>3679.23195475846</v>
      </c>
      <c r="G33" s="37" t="n">
        <f aca="false">IFERROR(E33/C33,0)</f>
        <v>0.0580731168908907</v>
      </c>
    </row>
    <row r="34" customFormat="false" ht="15" hidden="false" customHeight="true" outlineLevel="0" collapsed="false">
      <c r="B34" s="35" t="n">
        <v>10</v>
      </c>
      <c r="C34" s="36" t="n">
        <f aca="false">(C33+$C$11)*(1+$C$9-$C$8)</f>
        <v>341929.916377055</v>
      </c>
      <c r="D34" s="36" t="n">
        <f aca="false">(D33+$C$11)*(1+$F$9-$F$8)</f>
        <v>320111.557643014</v>
      </c>
      <c r="E34" s="36" t="n">
        <f aca="false">C34-D34</f>
        <v>21818.3587340408</v>
      </c>
      <c r="F34" s="36" t="n">
        <f aca="false">IF(B34=0,0,E34-E33)</f>
        <v>4298.29497776512</v>
      </c>
      <c r="G34" s="37" t="n">
        <f aca="false">IFERROR(E34/C34,0)</f>
        <v>0.0638094465825596</v>
      </c>
    </row>
    <row r="35" customFormat="false" ht="15" hidden="false" customHeight="true" outlineLevel="0" collapsed="false">
      <c r="B35" s="35" t="n">
        <v>11</v>
      </c>
      <c r="C35" s="36" t="n">
        <f aca="false">(C34+$C$11)*(1+$C$9-$C$8)</f>
        <v>385377.230712307</v>
      </c>
      <c r="D35" s="36" t="n">
        <f aca="false">(D34+$C$11)*(1+$F$9-$F$8)</f>
        <v>358569.366678025</v>
      </c>
      <c r="E35" s="36" t="n">
        <f aca="false">C35-D35</f>
        <v>26807.8640342811</v>
      </c>
      <c r="F35" s="36" t="n">
        <f aca="false">IF(B35=0,0,E35-E34)</f>
        <v>4989.5053002403</v>
      </c>
      <c r="G35" s="37" t="n">
        <f aca="false">IFERROR(E35/C35,0)</f>
        <v>0.0695626567888589</v>
      </c>
    </row>
    <row r="36" customFormat="false" ht="15" hidden="false" customHeight="true" outlineLevel="0" collapsed="false">
      <c r="B36" s="35" t="n">
        <v>12</v>
      </c>
      <c r="C36" s="36" t="n">
        <f aca="false">(C35+$C$11)*(1+$C$9-$C$8)</f>
        <v>432287.296000077</v>
      </c>
      <c r="D36" s="36" t="n">
        <f aca="false">(D35+$C$11)*(1+$F$9-$F$8)</f>
        <v>399719.222345487</v>
      </c>
      <c r="E36" s="36" t="n">
        <f aca="false">C36-D36</f>
        <v>32568.0736545901</v>
      </c>
      <c r="F36" s="36" t="n">
        <f aca="false">IF(B36=0,0,E36-E35)</f>
        <v>5760.20962030906</v>
      </c>
      <c r="G36" s="37" t="n">
        <f aca="false">IFERROR(E36/C36,0)</f>
        <v>0.0753389561894141</v>
      </c>
    </row>
    <row r="37" customFormat="false" ht="15" hidden="false" customHeight="true" outlineLevel="0" collapsed="false">
      <c r="B37" s="35" t="n">
        <v>13</v>
      </c>
      <c r="C37" s="36" t="n">
        <f aca="false">(C36+$C$11)*(1+$C$9-$C$8)</f>
        <v>482936.093491284</v>
      </c>
      <c r="D37" s="36" t="n">
        <f aca="false">(D36+$C$11)*(1+$F$9-$F$8)</f>
        <v>443749.567909671</v>
      </c>
      <c r="E37" s="36" t="n">
        <f aca="false">C37-D37</f>
        <v>39186.5255816122</v>
      </c>
      <c r="F37" s="36" t="n">
        <f aca="false">IF(B37=0,0,E37-E36)</f>
        <v>6618.45192702208</v>
      </c>
      <c r="G37" s="37" t="n">
        <f aca="false">IFERROR(E37/C37,0)</f>
        <v>0.0811422590064072</v>
      </c>
    </row>
    <row r="38" customFormat="false" ht="15" hidden="false" customHeight="true" outlineLevel="0" collapsed="false">
      <c r="B38" s="35" t="n">
        <v>14</v>
      </c>
      <c r="C38" s="36" t="n">
        <f aca="false">(C37+$C$11)*(1+$C$9-$C$8)</f>
        <v>537621.600142539</v>
      </c>
      <c r="D38" s="36" t="n">
        <f aca="false">(D37+$C$11)*(1+$F$9-$F$8)</f>
        <v>490862.037663348</v>
      </c>
      <c r="E38" s="36" t="n">
        <f aca="false">C38-D38</f>
        <v>46759.5624791905</v>
      </c>
      <c r="F38" s="36" t="n">
        <f aca="false">IF(B38=0,0,E38-E37)</f>
        <v>7573.03689757828</v>
      </c>
      <c r="G38" s="37" t="n">
        <f aca="false">IFERROR(E38/C38,0)</f>
        <v>0.0869748582772589</v>
      </c>
    </row>
    <row r="39" customFormat="false" ht="15" hidden="false" customHeight="true" outlineLevel="0" collapsed="false">
      <c r="B39" s="35" t="n">
        <v>15</v>
      </c>
      <c r="C39" s="36" t="n">
        <f aca="false">(C38+$C$11)*(1+$C$9-$C$8)</f>
        <v>596665.541673899</v>
      </c>
      <c r="D39" s="36" t="n">
        <f aca="false">(D38+$C$11)*(1+$F$9-$F$8)</f>
        <v>541272.380299783</v>
      </c>
      <c r="E39" s="36" t="n">
        <f aca="false">C39-D39</f>
        <v>55393.1613741164</v>
      </c>
      <c r="F39" s="36" t="n">
        <f aca="false">IF(B39=0,0,E39-E38)</f>
        <v>8633.59889492596</v>
      </c>
      <c r="G39" s="37" t="n">
        <f aca="false">IFERROR(E39/C39,0)</f>
        <v>0.0928378756693661</v>
      </c>
    </row>
    <row r="40" customFormat="false" ht="15" hidden="false" customHeight="true" outlineLevel="0" collapsed="false">
      <c r="B40" s="35" t="n">
        <v>16</v>
      </c>
      <c r="C40" s="36" t="n">
        <f aca="false">(C39+$C$11)*(1+$C$9-$C$8)</f>
        <v>660415.285345309</v>
      </c>
      <c r="D40" s="36" t="n">
        <f aca="false">(D39+$C$11)*(1+$F$9-$F$8)</f>
        <v>595211.446920768</v>
      </c>
      <c r="E40" s="36" t="n">
        <f aca="false">C40-D40</f>
        <v>65203.8384245414</v>
      </c>
      <c r="F40" s="36" t="n">
        <f aca="false">IF(B40=0,0,E40-E39)</f>
        <v>9810.67705042497</v>
      </c>
      <c r="G40" s="37" t="n">
        <f aca="false">IFERROR(E40/C40,0)</f>
        <v>0.0987315706819967</v>
      </c>
    </row>
    <row r="41" customFormat="false" ht="15" hidden="false" customHeight="true" outlineLevel="0" collapsed="false">
      <c r="B41" s="35" t="n">
        <v>17</v>
      </c>
      <c r="C41" s="36" t="n">
        <f aca="false">(C40+$C$11)*(1+$C$9-$C$8)</f>
        <v>729245.88358733</v>
      </c>
      <c r="D41" s="36" t="n">
        <f aca="false">(D40+$C$11)*(1+$F$9-$F$8)</f>
        <v>652926.248205222</v>
      </c>
      <c r="E41" s="36" t="n">
        <f aca="false">C41-D41</f>
        <v>76319.6353821087</v>
      </c>
      <c r="F41" s="36" t="n">
        <f aca="false">IF(B41=0,0,E41-E40)</f>
        <v>11115.7969575673</v>
      </c>
      <c r="G41" s="37" t="n">
        <f aca="false">IFERROR(E41/C41,0)</f>
        <v>0.104655558707681</v>
      </c>
    </row>
    <row r="42" customFormat="false" ht="15" hidden="false" customHeight="true" outlineLevel="0" collapsed="false">
      <c r="B42" s="35" t="n">
        <v>18</v>
      </c>
      <c r="C42" s="36" t="n">
        <f aca="false">(C41+$C$11)*(1+$C$9-$C$8)</f>
        <v>803562.280509241</v>
      </c>
      <c r="D42" s="36" t="n">
        <f aca="false">(D41+$C$11)*(1+$F$9-$F$8)</f>
        <v>714681.085579587</v>
      </c>
      <c r="E42" s="36" t="n">
        <f aca="false">C42-D42</f>
        <v>88881.1949296536</v>
      </c>
      <c r="F42" s="36" t="n">
        <f aca="false">IF(B42=0,0,E42-E41)</f>
        <v>12561.5595475448</v>
      </c>
      <c r="G42" s="37" t="n">
        <f aca="false">IFERROR(E42/C42,0)</f>
        <v>0.110608968446512</v>
      </c>
    </row>
    <row r="43" customFormat="false" ht="15" hidden="false" customHeight="true" outlineLevel="0" collapsed="false">
      <c r="B43" s="35" t="n">
        <v>19</v>
      </c>
      <c r="C43" s="36" t="n">
        <f aca="false">(C42+$C$11)*(1+$C$9-$C$8)</f>
        <v>883801.694265827</v>
      </c>
      <c r="D43" s="36" t="n">
        <f aca="false">(D42+$C$11)*(1+$F$9-$F$8)</f>
        <v>780758.761570158</v>
      </c>
      <c r="E43" s="36" t="n">
        <f aca="false">C43-D43</f>
        <v>103042.932695669</v>
      </c>
      <c r="F43" s="36" t="n">
        <f aca="false">IF(B43=0,0,E43-E42)</f>
        <v>14161.7377660155</v>
      </c>
      <c r="G43" s="37" t="n">
        <f aca="false">IFERROR(E43/C43,0)</f>
        <v>0.116590557999854</v>
      </c>
    </row>
    <row r="44" customFormat="false" ht="15" hidden="false" customHeight="true" outlineLevel="0" collapsed="false">
      <c r="B44" s="35" t="n">
        <v>20</v>
      </c>
      <c r="C44" s="36" t="n">
        <f aca="false">(C43+$C$11)*(1+$C$9-$C$8)</f>
        <v>970436.189298814</v>
      </c>
      <c r="D44" s="36" t="n">
        <f aca="false">(D43+$C$11)*(1+$F$9-$F$8)</f>
        <v>851461.874880069</v>
      </c>
      <c r="E44" s="36" t="n">
        <f aca="false">C44-D44</f>
        <v>118974.314418744</v>
      </c>
      <c r="F44" s="36" t="n">
        <f aca="false">IF(B44=0,0,E44-E43)</f>
        <v>15931.3817230754</v>
      </c>
      <c r="G44" s="37" t="n">
        <f aca="false">IFERROR(E44/C44,0)</f>
        <v>0.122598802199152</v>
      </c>
    </row>
    <row r="45" customFormat="false" ht="15" hidden="false" customHeight="true" outlineLevel="0" collapsed="false">
      <c r="B45" s="35" t="n">
        <v>21</v>
      </c>
      <c r="C45" s="36" t="n">
        <f aca="false">(C44+$C$11)*(1+$C$9-$C$8)</f>
        <v>1063975.45358593</v>
      </c>
      <c r="D45" s="36" t="n">
        <f aca="false">(D44+$C$11)*(1+$F$9-$F$8)</f>
        <v>927114.206121674</v>
      </c>
      <c r="E45" s="36" t="n">
        <f aca="false">C45-D45</f>
        <v>136861.247464255</v>
      </c>
      <c r="F45" s="36" t="n">
        <f aca="false">IF(B45=0,0,E45-E44)</f>
        <v>17886.9330455107</v>
      </c>
      <c r="G45" s="37" t="n">
        <f aca="false">IFERROR(E45/C45,0)</f>
        <v>0.128631959509019</v>
      </c>
    </row>
    <row r="46" customFormat="false" ht="15" hidden="false" customHeight="true" outlineLevel="0" collapsed="false">
      <c r="B46" s="35" t="n">
        <v>22</v>
      </c>
      <c r="C46" s="36" t="n">
        <f aca="false">(C45+$C$11)*(1+$C$9-$C$8)</f>
        <v>1164969.79723673</v>
      </c>
      <c r="D46" s="36" t="n">
        <f aca="false">(D45+$C$11)*(1+$F$9-$F$8)</f>
        <v>1008062.20055019</v>
      </c>
      <c r="E46" s="36" t="n">
        <f aca="false">C46-D46</f>
        <v>156907.596686537</v>
      </c>
      <c r="F46" s="36" t="n">
        <f aca="false">IF(B46=0,0,E46-E45)</f>
        <v>20046.3492222815</v>
      </c>
      <c r="G46" s="37" t="n">
        <f aca="false">IFERROR(E46/C46,0)</f>
        <v>0.134688124154563</v>
      </c>
    </row>
    <row r="47" customFormat="false" ht="15" hidden="false" customHeight="true" outlineLevel="0" collapsed="false">
      <c r="B47" s="35" t="n">
        <v>23</v>
      </c>
      <c r="C47" s="36" t="n">
        <f aca="false">(C46+$C$11)*(1+$C$9-$C$8)</f>
        <v>1274013.3900765</v>
      </c>
      <c r="D47" s="36" t="n">
        <f aca="false">(D46+$C$11)*(1+$F$9-$F$8)</f>
        <v>1094676.5545887</v>
      </c>
      <c r="E47" s="36" t="n">
        <f aca="false">C47-D47</f>
        <v>179336.835487791</v>
      </c>
      <c r="F47" s="36" t="n">
        <f aca="false">IF(B47=0,0,E47-E46)</f>
        <v>22429.2388012541</v>
      </c>
      <c r="G47" s="37" t="n">
        <f aca="false">IFERROR(E47/C47,0)</f>
        <v>0.140765267370559</v>
      </c>
    </row>
    <row r="48" customFormat="false" ht="15" hidden="false" customHeight="true" outlineLevel="0" collapsed="false">
      <c r="B48" s="35" t="n">
        <v>24</v>
      </c>
      <c r="C48" s="36" t="n">
        <f aca="false">(C47+$C$11)*(1+$C$9-$C$8)</f>
        <v>1391747.75726559</v>
      </c>
      <c r="D48" s="36" t="n">
        <f aca="false">(D47+$C$11)*(1+$F$9-$F$8)</f>
        <v>1187353.91340991</v>
      </c>
      <c r="E48" s="36" t="n">
        <f aca="false">C48-D48</f>
        <v>204393.843855678</v>
      </c>
      <c r="F48" s="36" t="n">
        <f aca="false">IF(B48=0,0,E48-E47)</f>
        <v>25057.0083678872</v>
      </c>
      <c r="G48" s="37" t="n">
        <f aca="false">IFERROR(E48/C48,0)</f>
        <v>0.14686127050584</v>
      </c>
    </row>
    <row r="49" customFormat="false" ht="15" hidden="false" customHeight="true" outlineLevel="0" collapsed="false">
      <c r="B49" s="35" t="n">
        <v>25</v>
      </c>
      <c r="C49" s="36" t="n">
        <f aca="false">(C48+$C$11)*(1+$C$9-$C$8)</f>
        <v>1518865.55351966</v>
      </c>
      <c r="D49" s="36" t="n">
        <f aca="false">(D48+$C$11)*(1+$F$9-$F$8)</f>
        <v>1286518.68734861</v>
      </c>
      <c r="E49" s="36" t="n">
        <f aca="false">C49-D49</f>
        <v>232346.866171052</v>
      </c>
      <c r="F49" s="36" t="n">
        <f aca="false">IF(B49=0,0,E49-E48)</f>
        <v>27953.0223153739</v>
      </c>
      <c r="G49" s="37" t="n">
        <f aca="false">IFERROR(E49/C49,0)</f>
        <v>0.152973951929212</v>
      </c>
    </row>
    <row r="50" customFormat="false" ht="15" hidden="false" customHeight="true" outlineLevel="0" collapsed="false">
      <c r="B50" s="35" t="n">
        <v>26</v>
      </c>
      <c r="C50" s="36" t="n">
        <f aca="false">(C49+$C$11)*(1+$C$9-$C$8)</f>
        <v>1656114.63813518</v>
      </c>
      <c r="D50" s="36" t="n">
        <f aca="false">(D49+$C$11)*(1+$F$9-$F$8)</f>
        <v>1392624.99546301</v>
      </c>
      <c r="E50" s="36" t="n">
        <f aca="false">C50-D50</f>
        <v>263489.642672166</v>
      </c>
      <c r="F50" s="36" t="n">
        <f aca="false">IF(B50=0,0,E50-E49)</f>
        <v>31142.7765011145</v>
      </c>
      <c r="G50" s="37" t="n">
        <f aca="false">IFERROR(E50/C50,0)</f>
        <v>0.159101089142513</v>
      </c>
    </row>
    <row r="51" customFormat="false" ht="15" hidden="false" customHeight="true" outlineLevel="0" collapsed="false">
      <c r="B51" s="35" t="n">
        <v>27</v>
      </c>
      <c r="C51" s="36" t="n">
        <f aca="false">(C50+$C$11)*(1+$C$9-$C$8)</f>
        <v>1804302.47479455</v>
      </c>
      <c r="D51" s="36" t="n">
        <f aca="false">(D50+$C$11)*(1+$F$9-$F$8)</f>
        <v>1506158.74514542</v>
      </c>
      <c r="E51" s="36" t="n">
        <f aca="false">C51-D51</f>
        <v>298143.729649129</v>
      </c>
      <c r="F51" s="36" t="n">
        <f aca="false">IF(B51=0,0,E51-E50)</f>
        <v>34654.0869769629</v>
      </c>
      <c r="G51" s="37" t="n">
        <f aca="false">IFERROR(E51/C51,0)</f>
        <v>0.165240437129632</v>
      </c>
    </row>
    <row r="52" customFormat="false" ht="15" hidden="false" customHeight="true" outlineLevel="0" collapsed="false">
      <c r="B52" s="35" t="n">
        <v>28</v>
      </c>
      <c r="C52" s="36" t="n">
        <f aca="false">(C51+$C$11)*(1+$C$9-$C$8)</f>
        <v>1964300.88203568</v>
      </c>
      <c r="D52" s="36" t="n">
        <f aca="false">(D51+$C$11)*(1+$F$9-$F$8)</f>
        <v>1627639.8573056</v>
      </c>
      <c r="E52" s="36" t="n">
        <f aca="false">C52-D52</f>
        <v>336661.024730075</v>
      </c>
      <c r="F52" s="36" t="n">
        <f aca="false">IF(B52=0,0,E52-E51)</f>
        <v>38517.2950809463</v>
      </c>
      <c r="G52" s="37" t="n">
        <f aca="false">IFERROR(E52/C52,0)</f>
        <v>0.171389743704224</v>
      </c>
    </row>
    <row r="53" customFormat="false" ht="15" hidden="false" customHeight="true" outlineLevel="0" collapsed="false">
      <c r="B53" s="35" t="n">
        <v>29</v>
      </c>
      <c r="C53" s="36" t="n">
        <f aca="false">(C52+$C$11)*(1+$C$9-$C$8)</f>
        <v>2137051.16233392</v>
      </c>
      <c r="D53" s="36" t="n">
        <f aca="false">(D52+$C$11)*(1+$F$9-$F$8)</f>
        <v>1757624.64731699</v>
      </c>
      <c r="E53" s="36" t="n">
        <f aca="false">C53-D53</f>
        <v>379426.515016927</v>
      </c>
      <c r="F53" s="36" t="n">
        <f aca="false">IF(B53=0,0,E53-E52)</f>
        <v>42765.4902868515</v>
      </c>
      <c r="G53" s="37" t="n">
        <f aca="false">IFERROR(E53/C53,0)</f>
        <v>0.177546762428723</v>
      </c>
    </row>
    <row r="54" customFormat="false" ht="15" hidden="false" customHeight="true" outlineLevel="0" collapsed="false">
      <c r="B54" s="35" t="n">
        <v>30</v>
      </c>
      <c r="C54" s="36" t="n">
        <f aca="false">(C53+$C$11)*(1+$C$9-$C$8)</f>
        <v>2323569.63997193</v>
      </c>
      <c r="D54" s="36" t="n">
        <f aca="false">(D53+$C$11)*(1+$F$9-$F$8)</f>
        <v>1896708.37262918</v>
      </c>
      <c r="E54" s="36" t="n">
        <f aca="false">C54-D54</f>
        <v>426861.267342751</v>
      </c>
      <c r="F54" s="36" t="n">
        <f aca="false">IF(B54=0,0,E54-E53)</f>
        <v>47434.752325824</v>
      </c>
      <c r="G54" s="37" t="n">
        <f aca="false">IFERROR(E54/C54,0)</f>
        <v>0.18370926353983</v>
      </c>
    </row>
  </sheetData>
  <mergeCells count="3">
    <mergeCell ref="B5:F5"/>
    <mergeCell ref="B14:F14"/>
    <mergeCell ref="B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B2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6" min="3" style="1" width="20"/>
    <col collapsed="false" customWidth="true" hidden="false" outlineLevel="0" max="7" min="7" style="1" width="22"/>
  </cols>
  <sheetData>
    <row r="2" customFormat="false" ht="19.5" hidden="false" customHeight="true" outlineLevel="0" collapsed="false">
      <c r="B2" s="7" t="s">
        <v>135</v>
      </c>
    </row>
    <row r="3" customFormat="false" ht="15" hidden="false" customHeight="true" outlineLevel="0" collapsed="false">
      <c r="B3" s="8" t="s">
        <v>136</v>
      </c>
    </row>
    <row r="5" customFormat="false" ht="15" hidden="false" customHeight="true" outlineLevel="0" collapsed="false">
      <c r="B5" s="9" t="s">
        <v>137</v>
      </c>
      <c r="C5" s="9"/>
      <c r="D5" s="9"/>
    </row>
    <row r="6" customFormat="false" ht="15" hidden="false" customHeight="true" outlineLevel="0" collapsed="false">
      <c r="B6" s="6" t="s">
        <v>138</v>
      </c>
      <c r="C6" s="11" t="n">
        <v>200000</v>
      </c>
    </row>
    <row r="7" customFormat="false" ht="15" hidden="false" customHeight="true" outlineLevel="0" collapsed="false">
      <c r="B7" s="6" t="s">
        <v>139</v>
      </c>
      <c r="C7" s="11" t="n">
        <v>60000</v>
      </c>
    </row>
    <row r="8" customFormat="false" ht="15" hidden="false" customHeight="true" outlineLevel="0" collapsed="false">
      <c r="B8" s="6" t="s">
        <v>140</v>
      </c>
      <c r="C8" s="11" t="n">
        <v>30000</v>
      </c>
    </row>
    <row r="9" customFormat="false" ht="15" hidden="false" customHeight="true" outlineLevel="0" collapsed="false">
      <c r="B9" s="6" t="s">
        <v>141</v>
      </c>
      <c r="C9" s="38" t="n">
        <v>5</v>
      </c>
    </row>
    <row r="10" customFormat="false" ht="23.25" hidden="false" customHeight="true" outlineLevel="0" collapsed="false">
      <c r="B10" s="6" t="s">
        <v>142</v>
      </c>
      <c r="C10" s="13" t="n">
        <v>0.07</v>
      </c>
    </row>
    <row r="11" customFormat="false" ht="15" hidden="false" customHeight="true" outlineLevel="0" collapsed="false">
      <c r="B11" s="6" t="s">
        <v>143</v>
      </c>
      <c r="C11" s="13" t="n">
        <v>0.22</v>
      </c>
    </row>
    <row r="12" customFormat="false" ht="15" hidden="false" customHeight="true" outlineLevel="0" collapsed="false">
      <c r="B12" s="6" t="s">
        <v>144</v>
      </c>
      <c r="C12" s="13" t="n">
        <v>0.24</v>
      </c>
    </row>
    <row r="14" customFormat="false" ht="15" hidden="false" customHeight="true" outlineLevel="0" collapsed="false">
      <c r="B14" s="9" t="s">
        <v>145</v>
      </c>
      <c r="C14" s="9"/>
      <c r="D14" s="9"/>
      <c r="E14" s="9"/>
      <c r="F14" s="9"/>
    </row>
    <row r="15" customFormat="false" ht="15" hidden="false" customHeight="true" outlineLevel="0" collapsed="false">
      <c r="C15" s="39" t="s">
        <v>146</v>
      </c>
      <c r="D15" s="40" t="s">
        <v>147</v>
      </c>
      <c r="E15" s="41" t="s">
        <v>148</v>
      </c>
    </row>
    <row r="16" customFormat="false" ht="15" hidden="false" customHeight="true" outlineLevel="0" collapsed="false">
      <c r="B16" s="6" t="s">
        <v>149</v>
      </c>
      <c r="C16" s="36" t="n">
        <f aca="false">C6</f>
        <v>200000</v>
      </c>
      <c r="D16" s="36" t="n">
        <f aca="false">C6</f>
        <v>200000</v>
      </c>
      <c r="E16" s="36" t="n">
        <f aca="false">C6</f>
        <v>200000</v>
      </c>
    </row>
    <row r="17" customFormat="false" ht="15" hidden="false" customHeight="true" outlineLevel="0" collapsed="false">
      <c r="B17" s="6" t="s">
        <v>150</v>
      </c>
      <c r="C17" s="36" t="n">
        <v>0</v>
      </c>
      <c r="D17" s="36" t="n">
        <f aca="false">C8*C9</f>
        <v>150000</v>
      </c>
      <c r="E17" s="36" t="n">
        <f aca="false">C6</f>
        <v>200000</v>
      </c>
    </row>
    <row r="18" customFormat="false" ht="15" hidden="false" customHeight="true" outlineLevel="0" collapsed="false">
      <c r="B18" s="6" t="s">
        <v>151</v>
      </c>
      <c r="C18" s="36" t="n">
        <v>0</v>
      </c>
      <c r="D18" s="36" t="n">
        <f aca="false">D17*C12</f>
        <v>36000</v>
      </c>
      <c r="E18" s="36" t="n">
        <f aca="false">E17*C12</f>
        <v>48000</v>
      </c>
    </row>
    <row r="19" customFormat="false" ht="23.25" hidden="false" customHeight="true" outlineLevel="0" collapsed="false">
      <c r="B19" s="6" t="s">
        <v>152</v>
      </c>
      <c r="C19" s="36" t="n">
        <f aca="false">C6</f>
        <v>200000</v>
      </c>
      <c r="D19" s="36" t="n">
        <f aca="false">C6-D17</f>
        <v>50000</v>
      </c>
      <c r="E19" s="36" t="n">
        <v>0</v>
      </c>
    </row>
    <row r="20" customFormat="false" ht="15" hidden="false" customHeight="true" outlineLevel="0" collapsed="false">
      <c r="B20" s="6" t="s">
        <v>153</v>
      </c>
      <c r="C20" s="36" t="n">
        <v>0</v>
      </c>
      <c r="D20" s="36" t="n">
        <f aca="false">D17-D18</f>
        <v>114000</v>
      </c>
      <c r="E20" s="36" t="n">
        <f aca="false">C6-E18</f>
        <v>152000</v>
      </c>
    </row>
    <row r="21" customFormat="false" ht="15" hidden="false" customHeight="true" outlineLevel="0" collapsed="false">
      <c r="B21" s="6" t="s">
        <v>154</v>
      </c>
      <c r="C21" s="36" t="n">
        <f aca="false">C19*(1+C10)^20</f>
        <v>773936.892497237</v>
      </c>
      <c r="D21" s="36" t="n">
        <f aca="false">D19*(1+C10)^20</f>
        <v>193484.223124309</v>
      </c>
      <c r="E21" s="36" t="n">
        <v>0</v>
      </c>
    </row>
    <row r="22" customFormat="false" ht="15" hidden="false" customHeight="true" outlineLevel="0" collapsed="false">
      <c r="B22" s="6" t="s">
        <v>155</v>
      </c>
      <c r="C22" s="36" t="n">
        <v>0</v>
      </c>
      <c r="D22" s="36" t="n">
        <f aca="false">D20*(1+C10)^20</f>
        <v>441144.028723425</v>
      </c>
      <c r="E22" s="36" t="n">
        <f aca="false">E20*(1+C10)^20</f>
        <v>588192.0382979</v>
      </c>
    </row>
    <row r="23" customFormat="false" ht="15" hidden="false" customHeight="true" outlineLevel="0" collapsed="false">
      <c r="B23" s="6" t="s">
        <v>156</v>
      </c>
      <c r="C23" s="36" t="n">
        <f aca="false">C21*C11</f>
        <v>170266.116349392</v>
      </c>
      <c r="D23" s="36" t="n">
        <f aca="false">D21*C11</f>
        <v>42566.529087348</v>
      </c>
      <c r="E23" s="36" t="n">
        <v>0</v>
      </c>
    </row>
    <row r="24" customFormat="false" ht="19.5" hidden="false" customHeight="true" outlineLevel="0" collapsed="false">
      <c r="B24" s="6" t="s">
        <v>157</v>
      </c>
      <c r="C24" s="42" t="n">
        <f aca="false">C21-C23</f>
        <v>603670.776147845</v>
      </c>
      <c r="D24" s="42" t="n">
        <f aca="false">(D21-D23)+D22</f>
        <v>592061.722760386</v>
      </c>
      <c r="E24" s="42" t="n">
        <f aca="false">E22</f>
        <v>588192.0382979</v>
      </c>
    </row>
    <row r="25" customFormat="false" ht="15" hidden="false" customHeight="true" outlineLevel="0" collapsed="false">
      <c r="B25" s="6" t="s">
        <v>158</v>
      </c>
      <c r="C25" s="36" t="n">
        <v>0</v>
      </c>
      <c r="D25" s="43" t="n">
        <f aca="false">D24-C24</f>
        <v>-11609.0533874586</v>
      </c>
      <c r="E25" s="43" t="n">
        <f aca="false">E24-C24</f>
        <v>-15478.7378499447</v>
      </c>
    </row>
    <row r="27" customFormat="false" ht="15" hidden="false" customHeight="true" outlineLevel="0" collapsed="false">
      <c r="B27" s="44" t="s">
        <v>159</v>
      </c>
    </row>
    <row r="28" customFormat="false" ht="15" hidden="false" customHeight="true" outlineLevel="0" collapsed="false">
      <c r="B28" s="18" t="s">
        <v>160</v>
      </c>
    </row>
    <row r="29" customFormat="false" ht="15" hidden="false" customHeight="true" outlineLevel="0" collapsed="false">
      <c r="B29" s="18" t="s">
        <v>161</v>
      </c>
    </row>
    <row r="30" customFormat="false" ht="15" hidden="false" customHeight="true" outlineLevel="0" collapsed="false">
      <c r="B30" s="18" t="s">
        <v>162</v>
      </c>
    </row>
    <row r="31" customFormat="false" ht="15" hidden="false" customHeight="true" outlineLevel="0" collapsed="false">
      <c r="B31" s="18" t="s">
        <v>163</v>
      </c>
    </row>
    <row r="32" customFormat="false" ht="15" hidden="false" customHeight="true" outlineLevel="0" collapsed="false">
      <c r="B32" s="18" t="s">
        <v>164</v>
      </c>
    </row>
  </sheetData>
  <mergeCells count="2">
    <mergeCell ref="B5:D5"/>
    <mergeCell ref="B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B2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5" min="3" style="1" width="20"/>
    <col collapsed="false" customWidth="true" hidden="false" outlineLevel="0" max="6" min="6" style="1" width="22"/>
  </cols>
  <sheetData>
    <row r="2" customFormat="false" ht="19.5" hidden="false" customHeight="true" outlineLevel="0" collapsed="false">
      <c r="B2" s="7" t="s">
        <v>165</v>
      </c>
    </row>
    <row r="3" customFormat="false" ht="15" hidden="false" customHeight="true" outlineLevel="0" collapsed="false">
      <c r="B3" s="8" t="s">
        <v>166</v>
      </c>
    </row>
    <row r="5" customFormat="false" ht="15" hidden="false" customHeight="true" outlineLevel="0" collapsed="false">
      <c r="B5" s="9" t="s">
        <v>167</v>
      </c>
      <c r="C5" s="9"/>
      <c r="D5" s="9"/>
    </row>
    <row r="6" customFormat="false" ht="23.25" hidden="false" customHeight="true" outlineLevel="0" collapsed="false">
      <c r="B6" s="6" t="s">
        <v>168</v>
      </c>
      <c r="C6" s="11" t="n">
        <v>2500</v>
      </c>
    </row>
    <row r="7" customFormat="false" ht="15" hidden="false" customHeight="true" outlineLevel="0" collapsed="false">
      <c r="B7" s="6" t="s">
        <v>36</v>
      </c>
      <c r="C7" s="38" t="n">
        <v>55</v>
      </c>
    </row>
    <row r="8" customFormat="false" ht="15" hidden="false" customHeight="true" outlineLevel="0" collapsed="false">
      <c r="B8" s="6" t="s">
        <v>169</v>
      </c>
      <c r="C8" s="38" t="n">
        <v>85</v>
      </c>
    </row>
    <row r="9" customFormat="false" ht="15" hidden="false" customHeight="true" outlineLevel="0" collapsed="false">
      <c r="B9" s="6" t="s">
        <v>170</v>
      </c>
      <c r="C9" s="13" t="n">
        <v>0.025</v>
      </c>
    </row>
    <row r="11" customFormat="false" ht="15" hidden="false" customHeight="true" outlineLevel="0" collapsed="false">
      <c r="B11" s="9" t="s">
        <v>171</v>
      </c>
      <c r="C11" s="9"/>
      <c r="D11" s="9"/>
      <c r="E11" s="9"/>
    </row>
    <row r="12" customFormat="false" ht="15" hidden="false" customHeight="true" outlineLevel="0" collapsed="false">
      <c r="C12" s="14" t="s">
        <v>172</v>
      </c>
      <c r="D12" s="14" t="s">
        <v>173</v>
      </c>
      <c r="E12" s="14" t="s">
        <v>174</v>
      </c>
    </row>
    <row r="13" customFormat="false" ht="15" hidden="false" customHeight="true" outlineLevel="0" collapsed="false">
      <c r="B13" s="6" t="s">
        <v>175</v>
      </c>
      <c r="C13" s="36" t="n">
        <f aca="false">C6*0.7</f>
        <v>1750</v>
      </c>
      <c r="D13" s="36" t="n">
        <f aca="false">C6</f>
        <v>2500</v>
      </c>
      <c r="E13" s="36" t="n">
        <f aca="false">C6*1.24</f>
        <v>3100</v>
      </c>
    </row>
    <row r="14" customFormat="false" ht="15" hidden="false" customHeight="true" outlineLevel="0" collapsed="false">
      <c r="B14" s="6" t="s">
        <v>176</v>
      </c>
      <c r="C14" s="36" t="n">
        <f aca="false">C13*12</f>
        <v>21000</v>
      </c>
      <c r="D14" s="36" t="n">
        <f aca="false">D13*12</f>
        <v>30000</v>
      </c>
      <c r="E14" s="36" t="n">
        <f aca="false">E13*12</f>
        <v>37200</v>
      </c>
    </row>
    <row r="15" customFormat="false" ht="15" hidden="false" customHeight="true" outlineLevel="0" collapsed="false">
      <c r="B15" s="6" t="s">
        <v>177</v>
      </c>
      <c r="C15" s="32" t="n">
        <v>-0.3</v>
      </c>
      <c r="D15" s="37" t="n">
        <v>0</v>
      </c>
      <c r="E15" s="45" t="n">
        <v>0.24</v>
      </c>
    </row>
    <row r="16" customFormat="false" ht="15" hidden="false" customHeight="true" outlineLevel="0" collapsed="false">
      <c r="B16" s="6" t="s">
        <v>178</v>
      </c>
      <c r="C16" s="36" t="n">
        <f aca="false">IF(75&gt;=62,C14*((1+$C$9)^13-1)/$C$9,0)</f>
        <v>317949.277676062</v>
      </c>
      <c r="D16" s="36" t="n">
        <f aca="false">IF(75&gt;=67,D14*((1+$C$9)^8-1)/$C$9,0)</f>
        <v>262083.477011901</v>
      </c>
      <c r="E16" s="36" t="n">
        <f aca="false">IF(75&gt;=70,E14*((1+$C$9)^5-1)/$C$9,0)</f>
        <v>195535.420781249</v>
      </c>
    </row>
    <row r="17" customFormat="false" ht="15" hidden="false" customHeight="true" outlineLevel="0" collapsed="false">
      <c r="B17" s="6" t="s">
        <v>179</v>
      </c>
      <c r="C17" s="36" t="n">
        <f aca="false">IF(80&gt;=62,C14*((1+$C$9)^18-1)/$C$9,0)</f>
        <v>470113.322873462</v>
      </c>
      <c r="D17" s="36" t="n">
        <f aca="false">IF(80&gt;=67,D14*((1+$C$9)^13-1)/$C$9,0)</f>
        <v>454213.253822945</v>
      </c>
      <c r="E17" s="36" t="n">
        <f aca="false">IF(80&gt;=70,E14*((1+$C$9)^10-1)/$C$9,0)</f>
        <v>416765.801764179</v>
      </c>
    </row>
    <row r="18" customFormat="false" ht="15" hidden="false" customHeight="true" outlineLevel="0" collapsed="false">
      <c r="B18" s="6" t="s">
        <v>180</v>
      </c>
      <c r="C18" s="36" t="n">
        <f aca="false">IF(85&gt;=62,C14*((1+$C$9)^23-1)/$C$9,0)</f>
        <v>642272.973316462</v>
      </c>
      <c r="D18" s="36" t="n">
        <f aca="false">IF(85&gt;=67,D14*((1+$C$9)^18-1)/$C$9,0)</f>
        <v>671590.461247803</v>
      </c>
      <c r="E18" s="36" t="n">
        <f aca="false">IF(85&gt;=70,E14*((1+$C$9)^15-1)/$C$9,0)</f>
        <v>667067.671749187</v>
      </c>
    </row>
    <row r="19" customFormat="false" ht="15" hidden="false" customHeight="true" outlineLevel="0" collapsed="false">
      <c r="B19" s="6" t="s">
        <v>181</v>
      </c>
      <c r="C19" s="36" t="n">
        <f aca="false">IF(90&gt;=62,C14*((1+$C$9)^28-1)/$C$9,0)</f>
        <v>837055.815756051</v>
      </c>
      <c r="D19" s="36" t="n">
        <f aca="false">IF(90&gt;=67,D14*((1+$C$9)^23-1)/$C$9,0)</f>
        <v>917532.819023517</v>
      </c>
      <c r="E19" s="36" t="n">
        <f aca="false">IF(90&gt;=70,E14*((1+$C$9)^20-1)/$C$9,0)</f>
        <v>950261.263152107</v>
      </c>
    </row>
    <row r="20" customFormat="false" ht="23.25" hidden="false" customHeight="true" outlineLevel="0" collapsed="false">
      <c r="B20" s="6" t="s">
        <v>182</v>
      </c>
      <c r="C20" s="46" t="n">
        <f aca="false">IF($C$8&gt;=62,C14*((1+$C$9)^($C$8-62)-1)/$C$9,0)</f>
        <v>642272.973316462</v>
      </c>
      <c r="D20" s="46" t="n">
        <f aca="false">IF($C$8&gt;=67,D14*((1+$C$9)^($C$8-67)-1)/$C$9,0)</f>
        <v>671590.461247803</v>
      </c>
      <c r="E20" s="46" t="n">
        <f aca="false">IF($C$8&gt;=70,E14*((1+$C$9)^($C$8-70)-1)/$C$9,0)</f>
        <v>667067.671749187</v>
      </c>
    </row>
    <row r="22" customFormat="false" ht="15" hidden="false" customHeight="true" outlineLevel="0" collapsed="false">
      <c r="B22" s="5" t="s">
        <v>183</v>
      </c>
      <c r="C22" s="47" t="str">
        <f aca="false">IF(AND(E20&gt;=D20,E20&gt;=C20),"Claim at 70 — Maximum lifetime benefit",IF(AND(D20&gt;=C20,D20&gt;=E20),"Claim at 67 (FRA) — Balanced approach","Claim at 62 — Only if you need income now or have shorter life expectancy"))</f>
        <v>Claim at 67 (FRA) — Balanced approach</v>
      </c>
    </row>
    <row r="24" customFormat="false" ht="15" hidden="false" customHeight="true" outlineLevel="0" collapsed="false">
      <c r="B24" s="9" t="s">
        <v>184</v>
      </c>
      <c r="C24" s="9"/>
      <c r="D24" s="9"/>
      <c r="E24" s="9"/>
    </row>
    <row r="25" customFormat="false" ht="15" hidden="false" customHeight="true" outlineLevel="0" collapsed="false">
      <c r="B25" s="18" t="s">
        <v>185</v>
      </c>
      <c r="C25" s="26" t="n">
        <f aca="false">IFERROR(62+(C14*5)/(D14-C14),"N/A")</f>
        <v>73.6666666666667</v>
      </c>
    </row>
    <row r="26" customFormat="false" ht="15" hidden="false" customHeight="true" outlineLevel="0" collapsed="false">
      <c r="B26" s="18" t="s">
        <v>186</v>
      </c>
      <c r="C26" s="26" t="n">
        <f aca="false">IFERROR(67+(D14*3)/(E14-D14),"N/A")</f>
        <v>79.5</v>
      </c>
    </row>
    <row r="27" customFormat="false" ht="15" hidden="false" customHeight="true" outlineLevel="0" collapsed="false">
      <c r="B27" s="8" t="s">
        <v>187</v>
      </c>
    </row>
  </sheetData>
  <mergeCells count="3">
    <mergeCell ref="B5:D5"/>
    <mergeCell ref="B11:E11"/>
    <mergeCell ref="B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72A"/>
    <pageSetUpPr fitToPage="false"/>
  </sheetPr>
  <dimension ref="B2:K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3" min="2" style="1" width="8"/>
    <col collapsed="false" customWidth="true" hidden="false" outlineLevel="0" max="10" min="4" style="1" width="16"/>
    <col collapsed="false" customWidth="true" hidden="false" outlineLevel="0" max="11" min="11" style="1" width="18"/>
  </cols>
  <sheetData>
    <row r="2" customFormat="false" ht="19.5" hidden="false" customHeight="true" outlineLevel="0" collapsed="false">
      <c r="B2" s="7" t="s">
        <v>188</v>
      </c>
    </row>
    <row r="3" customFormat="false" ht="23.25" hidden="false" customHeight="true" outlineLevel="0" collapsed="false">
      <c r="B3" s="8" t="s">
        <v>189</v>
      </c>
      <c r="H3" s="6" t="s">
        <v>190</v>
      </c>
      <c r="I3" s="28" t="n">
        <v>0.005</v>
      </c>
    </row>
    <row r="4" customFormat="false" ht="23.25" hidden="false" customHeight="true" outlineLevel="0" collapsed="false">
      <c r="H4" s="6" t="s">
        <v>191</v>
      </c>
      <c r="I4" s="13" t="n">
        <v>0.04</v>
      </c>
    </row>
    <row r="5" customFormat="false" ht="15" hidden="false" customHeight="true" outlineLevel="0" collapsed="false">
      <c r="B5" s="34" t="s">
        <v>129</v>
      </c>
      <c r="C5" s="34" t="s">
        <v>192</v>
      </c>
      <c r="D5" s="34" t="s">
        <v>193</v>
      </c>
      <c r="E5" s="34" t="s">
        <v>194</v>
      </c>
      <c r="F5" s="34" t="s">
        <v>195</v>
      </c>
      <c r="G5" s="34" t="s">
        <v>196</v>
      </c>
      <c r="H5" s="34" t="s">
        <v>197</v>
      </c>
      <c r="I5" s="34" t="s">
        <v>198</v>
      </c>
      <c r="J5" s="34" t="s">
        <v>199</v>
      </c>
      <c r="K5" s="34" t="s">
        <v>200</v>
      </c>
    </row>
    <row r="6" customFormat="false" ht="15" hidden="false" customHeight="true" outlineLevel="0" collapsed="false">
      <c r="B6" s="35" t="n">
        <f aca="true">YEAR(TODAY())+0</f>
        <v>2026</v>
      </c>
      <c r="C6" s="35" t="n">
        <f aca="false">'Reference Data'!C6+0</f>
        <v>30</v>
      </c>
      <c r="D6" s="36" t="n">
        <f aca="false">IF(C6&lt;'Reference Data'!$C$7,'Readiness Scorecard'!$C$7,0)</f>
        <v>15000</v>
      </c>
      <c r="E6" s="36" t="n">
        <f aca="false">IF(C6&lt;'Reference Data'!$C$7,'Readiness Scorecard'!$C$8,0)</f>
        <v>2250</v>
      </c>
      <c r="F6" s="36" t="n">
        <f aca="false">'Reference Data'!C11*'Reference Data'!$C$14</f>
        <v>4000</v>
      </c>
      <c r="G6" s="48" t="n">
        <f aca="false">'Reference Data'!C11*$I$3</f>
        <v>250</v>
      </c>
      <c r="H6" s="36" t="n">
        <f aca="false">IF(C6&gt;='Reference Data'!$C$7,'Reference Data'!C11*$I$4,0)</f>
        <v>0</v>
      </c>
      <c r="I6" s="36" t="n">
        <f aca="false">H6*0.22</f>
        <v>0</v>
      </c>
      <c r="J6" s="36" t="n">
        <f aca="false">H6-I6</f>
        <v>0</v>
      </c>
      <c r="K6" s="49" t="n">
        <f aca="false">'Reference Data'!C11+D6+E6+F6-G6-H6</f>
        <v>71000</v>
      </c>
    </row>
    <row r="7" customFormat="false" ht="15" hidden="false" customHeight="true" outlineLevel="0" collapsed="false">
      <c r="B7" s="35" t="n">
        <f aca="true">YEAR(TODAY())+1</f>
        <v>2027</v>
      </c>
      <c r="C7" s="35" t="n">
        <f aca="false">'Reference Data'!C6+1</f>
        <v>31</v>
      </c>
      <c r="D7" s="36" t="n">
        <f aca="false">IF(C7&lt;'Reference Data'!$C$7,'Readiness Scorecard'!$C$7,0)</f>
        <v>15000</v>
      </c>
      <c r="E7" s="36" t="n">
        <f aca="false">IF(C7&lt;'Reference Data'!$C$7,'Readiness Scorecard'!$C$8,0)</f>
        <v>2250</v>
      </c>
      <c r="F7" s="36" t="n">
        <f aca="false">K6*'Reference Data'!$C$14</f>
        <v>5680</v>
      </c>
      <c r="G7" s="48" t="n">
        <f aca="false">K6*$I$3</f>
        <v>355</v>
      </c>
      <c r="H7" s="36" t="n">
        <f aca="false">IF(C7&gt;='Reference Data'!$C$7,K6*$I$4,0)</f>
        <v>0</v>
      </c>
      <c r="I7" s="36" t="n">
        <f aca="false">H7*0.22</f>
        <v>0</v>
      </c>
      <c r="J7" s="36" t="n">
        <f aca="false">H7-I7</f>
        <v>0</v>
      </c>
      <c r="K7" s="49" t="n">
        <f aca="false">K6+D7+E7+F7-G7-H7</f>
        <v>93575</v>
      </c>
    </row>
    <row r="8" customFormat="false" ht="15" hidden="false" customHeight="true" outlineLevel="0" collapsed="false">
      <c r="B8" s="35" t="n">
        <f aca="true">YEAR(TODAY())+2</f>
        <v>2028</v>
      </c>
      <c r="C8" s="35" t="n">
        <f aca="false">'Reference Data'!C6+2</f>
        <v>32</v>
      </c>
      <c r="D8" s="36" t="n">
        <f aca="false">IF(C8&lt;'Reference Data'!$C$7,'Readiness Scorecard'!$C$7,0)</f>
        <v>15000</v>
      </c>
      <c r="E8" s="36" t="n">
        <f aca="false">IF(C8&lt;'Reference Data'!$C$7,'Readiness Scorecard'!$C$8,0)</f>
        <v>2250</v>
      </c>
      <c r="F8" s="36" t="n">
        <f aca="false">K7*'Reference Data'!$C$14</f>
        <v>7486</v>
      </c>
      <c r="G8" s="48" t="n">
        <f aca="false">K7*$I$3</f>
        <v>467.875</v>
      </c>
      <c r="H8" s="36" t="n">
        <f aca="false">IF(C8&gt;='Reference Data'!$C$7,K7*$I$4,0)</f>
        <v>0</v>
      </c>
      <c r="I8" s="36" t="n">
        <f aca="false">H8*0.22</f>
        <v>0</v>
      </c>
      <c r="J8" s="36" t="n">
        <f aca="false">H8-I8</f>
        <v>0</v>
      </c>
      <c r="K8" s="49" t="n">
        <f aca="false">K7+D8+E8+F8-G8-H8</f>
        <v>117843.125</v>
      </c>
    </row>
    <row r="9" customFormat="false" ht="15" hidden="false" customHeight="true" outlineLevel="0" collapsed="false">
      <c r="B9" s="35" t="n">
        <f aca="true">YEAR(TODAY())+3</f>
        <v>2029</v>
      </c>
      <c r="C9" s="35" t="n">
        <f aca="false">'Reference Data'!C6+3</f>
        <v>33</v>
      </c>
      <c r="D9" s="36" t="n">
        <f aca="false">IF(C9&lt;'Reference Data'!$C$7,'Readiness Scorecard'!$C$7,0)</f>
        <v>15000</v>
      </c>
      <c r="E9" s="36" t="n">
        <f aca="false">IF(C9&lt;'Reference Data'!$C$7,'Readiness Scorecard'!$C$8,0)</f>
        <v>2250</v>
      </c>
      <c r="F9" s="36" t="n">
        <f aca="false">K8*'Reference Data'!$C$14</f>
        <v>9427.45</v>
      </c>
      <c r="G9" s="48" t="n">
        <f aca="false">K8*$I$3</f>
        <v>589.215625</v>
      </c>
      <c r="H9" s="36" t="n">
        <f aca="false">IF(C9&gt;='Reference Data'!$C$7,K8*$I$4,0)</f>
        <v>0</v>
      </c>
      <c r="I9" s="36" t="n">
        <f aca="false">H9*0.22</f>
        <v>0</v>
      </c>
      <c r="J9" s="36" t="n">
        <f aca="false">H9-I9</f>
        <v>0</v>
      </c>
      <c r="K9" s="49" t="n">
        <f aca="false">K8+D9+E9+F9-G9-H9</f>
        <v>143931.359375</v>
      </c>
    </row>
    <row r="10" customFormat="false" ht="15" hidden="false" customHeight="true" outlineLevel="0" collapsed="false">
      <c r="B10" s="35" t="n">
        <f aca="true">YEAR(TODAY())+4</f>
        <v>2030</v>
      </c>
      <c r="C10" s="35" t="n">
        <f aca="false">'Reference Data'!C6+4</f>
        <v>34</v>
      </c>
      <c r="D10" s="36" t="n">
        <f aca="false">IF(C10&lt;'Reference Data'!$C$7,'Readiness Scorecard'!$C$7,0)</f>
        <v>15000</v>
      </c>
      <c r="E10" s="36" t="n">
        <f aca="false">IF(C10&lt;'Reference Data'!$C$7,'Readiness Scorecard'!$C$8,0)</f>
        <v>2250</v>
      </c>
      <c r="F10" s="36" t="n">
        <f aca="false">K9*'Reference Data'!$C$14</f>
        <v>11514.50875</v>
      </c>
      <c r="G10" s="48" t="n">
        <f aca="false">K9*$I$3</f>
        <v>719.656796875</v>
      </c>
      <c r="H10" s="36" t="n">
        <f aca="false">IF(C10&gt;='Reference Data'!$C$7,K9*$I$4,0)</f>
        <v>0</v>
      </c>
      <c r="I10" s="36" t="n">
        <f aca="false">H10*0.22</f>
        <v>0</v>
      </c>
      <c r="J10" s="36" t="n">
        <f aca="false">H10-I10</f>
        <v>0</v>
      </c>
      <c r="K10" s="49" t="n">
        <f aca="false">K9+D10+E10+F10-G10-H10</f>
        <v>171976.211328125</v>
      </c>
    </row>
    <row r="11" customFormat="false" ht="15" hidden="false" customHeight="true" outlineLevel="0" collapsed="false">
      <c r="B11" s="35" t="n">
        <f aca="true">YEAR(TODAY())+5</f>
        <v>2031</v>
      </c>
      <c r="C11" s="35" t="n">
        <f aca="false">'Reference Data'!C6+5</f>
        <v>35</v>
      </c>
      <c r="D11" s="36" t="n">
        <f aca="false">IF(C11&lt;'Reference Data'!$C$7,'Readiness Scorecard'!$C$7,0)</f>
        <v>15000</v>
      </c>
      <c r="E11" s="36" t="n">
        <f aca="false">IF(C11&lt;'Reference Data'!$C$7,'Readiness Scorecard'!$C$8,0)</f>
        <v>2250</v>
      </c>
      <c r="F11" s="36" t="n">
        <f aca="false">K10*'Reference Data'!$C$14</f>
        <v>13758.09690625</v>
      </c>
      <c r="G11" s="48" t="n">
        <f aca="false">K10*$I$3</f>
        <v>859.881056640625</v>
      </c>
      <c r="H11" s="36" t="n">
        <f aca="false">IF(C11&gt;='Reference Data'!$C$7,K10*$I$4,0)</f>
        <v>0</v>
      </c>
      <c r="I11" s="36" t="n">
        <f aca="false">H11*0.22</f>
        <v>0</v>
      </c>
      <c r="J11" s="36" t="n">
        <f aca="false">H11-I11</f>
        <v>0</v>
      </c>
      <c r="K11" s="49" t="n">
        <f aca="false">K10+D11+E11+F11-G11-H11</f>
        <v>202124.427177734</v>
      </c>
    </row>
    <row r="12" customFormat="false" ht="15" hidden="false" customHeight="true" outlineLevel="0" collapsed="false">
      <c r="B12" s="35" t="n">
        <f aca="true">YEAR(TODAY())+6</f>
        <v>2032</v>
      </c>
      <c r="C12" s="35" t="n">
        <f aca="false">'Reference Data'!C6+6</f>
        <v>36</v>
      </c>
      <c r="D12" s="36" t="n">
        <f aca="false">IF(C12&lt;'Reference Data'!$C$7,'Readiness Scorecard'!$C$7,0)</f>
        <v>15000</v>
      </c>
      <c r="E12" s="36" t="n">
        <f aca="false">IF(C12&lt;'Reference Data'!$C$7,'Readiness Scorecard'!$C$8,0)</f>
        <v>2250</v>
      </c>
      <c r="F12" s="36" t="n">
        <f aca="false">K11*'Reference Data'!$C$14</f>
        <v>16169.9541742188</v>
      </c>
      <c r="G12" s="48" t="n">
        <f aca="false">K11*$I$3</f>
        <v>1010.62213588867</v>
      </c>
      <c r="H12" s="36" t="n">
        <f aca="false">IF(C12&gt;='Reference Data'!$C$7,K11*$I$4,0)</f>
        <v>0</v>
      </c>
      <c r="I12" s="36" t="n">
        <f aca="false">H12*0.22</f>
        <v>0</v>
      </c>
      <c r="J12" s="36" t="n">
        <f aca="false">H12-I12</f>
        <v>0</v>
      </c>
      <c r="K12" s="49" t="n">
        <f aca="false">K11+D12+E12+F12-G12-H12</f>
        <v>234533.759216064</v>
      </c>
    </row>
    <row r="13" customFormat="false" ht="15" hidden="false" customHeight="true" outlineLevel="0" collapsed="false">
      <c r="B13" s="35" t="n">
        <f aca="true">YEAR(TODAY())+7</f>
        <v>2033</v>
      </c>
      <c r="C13" s="35" t="n">
        <f aca="false">'Reference Data'!C6+7</f>
        <v>37</v>
      </c>
      <c r="D13" s="36" t="n">
        <f aca="false">IF(C13&lt;'Reference Data'!$C$7,'Readiness Scorecard'!$C$7,0)</f>
        <v>15000</v>
      </c>
      <c r="E13" s="36" t="n">
        <f aca="false">IF(C13&lt;'Reference Data'!$C$7,'Readiness Scorecard'!$C$8,0)</f>
        <v>2250</v>
      </c>
      <c r="F13" s="36" t="n">
        <f aca="false">K12*'Reference Data'!$C$14</f>
        <v>18762.7007372852</v>
      </c>
      <c r="G13" s="48" t="n">
        <f aca="false">K12*$I$3</f>
        <v>1172.66879608032</v>
      </c>
      <c r="H13" s="36" t="n">
        <f aca="false">IF(C13&gt;='Reference Data'!$C$7,K12*$I$4,0)</f>
        <v>0</v>
      </c>
      <c r="I13" s="36" t="n">
        <f aca="false">H13*0.22</f>
        <v>0</v>
      </c>
      <c r="J13" s="36" t="n">
        <f aca="false">H13-I13</f>
        <v>0</v>
      </c>
      <c r="K13" s="49" t="n">
        <f aca="false">K12+D13+E13+F13-G13-H13</f>
        <v>269373.791157269</v>
      </c>
    </row>
    <row r="14" customFormat="false" ht="15" hidden="false" customHeight="true" outlineLevel="0" collapsed="false">
      <c r="B14" s="35" t="n">
        <f aca="true">YEAR(TODAY())+8</f>
        <v>2034</v>
      </c>
      <c r="C14" s="35" t="n">
        <f aca="false">'Reference Data'!C6+8</f>
        <v>38</v>
      </c>
      <c r="D14" s="36" t="n">
        <f aca="false">IF(C14&lt;'Reference Data'!$C$7,'Readiness Scorecard'!$C$7,0)</f>
        <v>15000</v>
      </c>
      <c r="E14" s="36" t="n">
        <f aca="false">IF(C14&lt;'Reference Data'!$C$7,'Readiness Scorecard'!$C$8,0)</f>
        <v>2250</v>
      </c>
      <c r="F14" s="36" t="n">
        <f aca="false">K13*'Reference Data'!$C$14</f>
        <v>21549.9032925815</v>
      </c>
      <c r="G14" s="48" t="n">
        <f aca="false">K13*$I$3</f>
        <v>1346.86895578635</v>
      </c>
      <c r="H14" s="36" t="n">
        <f aca="false">IF(C14&gt;='Reference Data'!$C$7,K13*$I$4,0)</f>
        <v>0</v>
      </c>
      <c r="I14" s="36" t="n">
        <f aca="false">H14*0.22</f>
        <v>0</v>
      </c>
      <c r="J14" s="36" t="n">
        <f aca="false">H14-I14</f>
        <v>0</v>
      </c>
      <c r="K14" s="49" t="n">
        <f aca="false">K13+D14+E14+F14-G14-H14</f>
        <v>306826.825494065</v>
      </c>
    </row>
    <row r="15" customFormat="false" ht="15" hidden="false" customHeight="true" outlineLevel="0" collapsed="false">
      <c r="B15" s="35" t="n">
        <f aca="true">YEAR(TODAY())+9</f>
        <v>2035</v>
      </c>
      <c r="C15" s="35" t="n">
        <f aca="false">'Reference Data'!C6+9</f>
        <v>39</v>
      </c>
      <c r="D15" s="36" t="n">
        <f aca="false">IF(C15&lt;'Reference Data'!$C$7,'Readiness Scorecard'!$C$7,0)</f>
        <v>15000</v>
      </c>
      <c r="E15" s="36" t="n">
        <f aca="false">IF(C15&lt;'Reference Data'!$C$7,'Readiness Scorecard'!$C$8,0)</f>
        <v>2250</v>
      </c>
      <c r="F15" s="36" t="n">
        <f aca="false">K14*'Reference Data'!$C$14</f>
        <v>24546.1460395252</v>
      </c>
      <c r="G15" s="48" t="n">
        <f aca="false">K14*$I$3</f>
        <v>1534.13412747032</v>
      </c>
      <c r="H15" s="36" t="n">
        <f aca="false">IF(C15&gt;='Reference Data'!$C$7,K14*$I$4,0)</f>
        <v>0</v>
      </c>
      <c r="I15" s="36" t="n">
        <f aca="false">H15*0.22</f>
        <v>0</v>
      </c>
      <c r="J15" s="36" t="n">
        <f aca="false">H15-I15</f>
        <v>0</v>
      </c>
      <c r="K15" s="49" t="n">
        <f aca="false">K14+D15+E15+F15-G15-H15</f>
        <v>347088.837406119</v>
      </c>
    </row>
    <row r="16" customFormat="false" ht="15" hidden="false" customHeight="true" outlineLevel="0" collapsed="false">
      <c r="B16" s="35" t="n">
        <f aca="true">YEAR(TODAY())+10</f>
        <v>2036</v>
      </c>
      <c r="C16" s="35" t="n">
        <f aca="false">'Reference Data'!C6+10</f>
        <v>40</v>
      </c>
      <c r="D16" s="36" t="n">
        <f aca="false">IF(C16&lt;'Reference Data'!$C$7,'Readiness Scorecard'!$C$7,0)</f>
        <v>15000</v>
      </c>
      <c r="E16" s="36" t="n">
        <f aca="false">IF(C16&lt;'Reference Data'!$C$7,'Readiness Scorecard'!$C$8,0)</f>
        <v>2250</v>
      </c>
      <c r="F16" s="36" t="n">
        <f aca="false">K15*'Reference Data'!$C$14</f>
        <v>27767.1069924895</v>
      </c>
      <c r="G16" s="48" t="n">
        <f aca="false">K15*$I$3</f>
        <v>1735.4441870306</v>
      </c>
      <c r="H16" s="36" t="n">
        <f aca="false">IF(C16&gt;='Reference Data'!$C$7,K15*$I$4,0)</f>
        <v>0</v>
      </c>
      <c r="I16" s="36" t="n">
        <f aca="false">H16*0.22</f>
        <v>0</v>
      </c>
      <c r="J16" s="36" t="n">
        <f aca="false">H16-I16</f>
        <v>0</v>
      </c>
      <c r="K16" s="49" t="n">
        <f aca="false">K15+D16+E16+F16-G16-H16</f>
        <v>390370.500211578</v>
      </c>
    </row>
    <row r="17" customFormat="false" ht="15" hidden="false" customHeight="true" outlineLevel="0" collapsed="false">
      <c r="B17" s="35" t="n">
        <f aca="true">YEAR(TODAY())+11</f>
        <v>2037</v>
      </c>
      <c r="C17" s="35" t="n">
        <f aca="false">'Reference Data'!C6+11</f>
        <v>41</v>
      </c>
      <c r="D17" s="36" t="n">
        <f aca="false">IF(C17&lt;'Reference Data'!$C$7,'Readiness Scorecard'!$C$7,0)</f>
        <v>15000</v>
      </c>
      <c r="E17" s="36" t="n">
        <f aca="false">IF(C17&lt;'Reference Data'!$C$7,'Readiness Scorecard'!$C$8,0)</f>
        <v>2250</v>
      </c>
      <c r="F17" s="36" t="n">
        <f aca="false">K16*'Reference Data'!$C$14</f>
        <v>31229.6400169263</v>
      </c>
      <c r="G17" s="48" t="n">
        <f aca="false">K16*$I$3</f>
        <v>1951.85250105789</v>
      </c>
      <c r="H17" s="36" t="n">
        <f aca="false">IF(C17&gt;='Reference Data'!$C$7,K16*$I$4,0)</f>
        <v>0</v>
      </c>
      <c r="I17" s="36" t="n">
        <f aca="false">H17*0.22</f>
        <v>0</v>
      </c>
      <c r="J17" s="36" t="n">
        <f aca="false">H17-I17</f>
        <v>0</v>
      </c>
      <c r="K17" s="49" t="n">
        <f aca="false">K16+D17+E17+F17-G17-H17</f>
        <v>436898.287727447</v>
      </c>
    </row>
    <row r="18" customFormat="false" ht="15" hidden="false" customHeight="true" outlineLevel="0" collapsed="false">
      <c r="B18" s="35" t="n">
        <f aca="true">YEAR(TODAY())+12</f>
        <v>2038</v>
      </c>
      <c r="C18" s="35" t="n">
        <f aca="false">'Reference Data'!C6+12</f>
        <v>42</v>
      </c>
      <c r="D18" s="36" t="n">
        <f aca="false">IF(C18&lt;'Reference Data'!$C$7,'Readiness Scorecard'!$C$7,0)</f>
        <v>15000</v>
      </c>
      <c r="E18" s="36" t="n">
        <f aca="false">IF(C18&lt;'Reference Data'!$C$7,'Readiness Scorecard'!$C$8,0)</f>
        <v>2250</v>
      </c>
      <c r="F18" s="36" t="n">
        <f aca="false">K17*'Reference Data'!$C$14</f>
        <v>34951.8630181957</v>
      </c>
      <c r="G18" s="48" t="n">
        <f aca="false">K17*$I$3</f>
        <v>2184.49143863723</v>
      </c>
      <c r="H18" s="36" t="n">
        <f aca="false">IF(C18&gt;='Reference Data'!$C$7,K17*$I$4,0)</f>
        <v>0</v>
      </c>
      <c r="I18" s="36" t="n">
        <f aca="false">H18*0.22</f>
        <v>0</v>
      </c>
      <c r="J18" s="36" t="n">
        <f aca="false">H18-I18</f>
        <v>0</v>
      </c>
      <c r="K18" s="49" t="n">
        <f aca="false">K17+D18+E18+F18-G18-H18</f>
        <v>486915.659307005</v>
      </c>
    </row>
    <row r="19" customFormat="false" ht="15" hidden="false" customHeight="true" outlineLevel="0" collapsed="false">
      <c r="B19" s="35" t="n">
        <f aca="true">YEAR(TODAY())+13</f>
        <v>2039</v>
      </c>
      <c r="C19" s="35" t="n">
        <f aca="false">'Reference Data'!C6+13</f>
        <v>43</v>
      </c>
      <c r="D19" s="36" t="n">
        <f aca="false">IF(C19&lt;'Reference Data'!$C$7,'Readiness Scorecard'!$C$7,0)</f>
        <v>15000</v>
      </c>
      <c r="E19" s="36" t="n">
        <f aca="false">IF(C19&lt;'Reference Data'!$C$7,'Readiness Scorecard'!$C$8,0)</f>
        <v>2250</v>
      </c>
      <c r="F19" s="36" t="n">
        <f aca="false">K18*'Reference Data'!$C$14</f>
        <v>38953.2527445604</v>
      </c>
      <c r="G19" s="48" t="n">
        <f aca="false">K18*$I$3</f>
        <v>2434.57829653503</v>
      </c>
      <c r="H19" s="36" t="n">
        <f aca="false">IF(C19&gt;='Reference Data'!$C$7,K18*$I$4,0)</f>
        <v>0</v>
      </c>
      <c r="I19" s="36" t="n">
        <f aca="false">H19*0.22</f>
        <v>0</v>
      </c>
      <c r="J19" s="36" t="n">
        <f aca="false">H19-I19</f>
        <v>0</v>
      </c>
      <c r="K19" s="49" t="n">
        <f aca="false">K18+D19+E19+F19-G19-H19</f>
        <v>540684.33375503</v>
      </c>
    </row>
    <row r="20" customFormat="false" ht="15" hidden="false" customHeight="true" outlineLevel="0" collapsed="false">
      <c r="B20" s="35" t="n">
        <f aca="true">YEAR(TODAY())+14</f>
        <v>2040</v>
      </c>
      <c r="C20" s="35" t="n">
        <f aca="false">'Reference Data'!C6+14</f>
        <v>44</v>
      </c>
      <c r="D20" s="36" t="n">
        <f aca="false">IF(C20&lt;'Reference Data'!$C$7,'Readiness Scorecard'!$C$7,0)</f>
        <v>15000</v>
      </c>
      <c r="E20" s="36" t="n">
        <f aca="false">IF(C20&lt;'Reference Data'!$C$7,'Readiness Scorecard'!$C$8,0)</f>
        <v>2250</v>
      </c>
      <c r="F20" s="36" t="n">
        <f aca="false">K19*'Reference Data'!$C$14</f>
        <v>43254.7467004024</v>
      </c>
      <c r="G20" s="48" t="n">
        <f aca="false">K19*$I$3</f>
        <v>2703.42166877515</v>
      </c>
      <c r="H20" s="36" t="n">
        <f aca="false">IF(C20&gt;='Reference Data'!$C$7,K19*$I$4,0)</f>
        <v>0</v>
      </c>
      <c r="I20" s="36" t="n">
        <f aca="false">H20*0.22</f>
        <v>0</v>
      </c>
      <c r="J20" s="36" t="n">
        <f aca="false">H20-I20</f>
        <v>0</v>
      </c>
      <c r="K20" s="49" t="n">
        <f aca="false">K19+D20+E20+F20-G20-H20</f>
        <v>598485.658786658</v>
      </c>
    </row>
    <row r="21" customFormat="false" ht="15" hidden="false" customHeight="true" outlineLevel="0" collapsed="false">
      <c r="B21" s="35" t="n">
        <f aca="true">YEAR(TODAY())+15</f>
        <v>2041</v>
      </c>
      <c r="C21" s="35" t="n">
        <f aca="false">'Reference Data'!C6+15</f>
        <v>45</v>
      </c>
      <c r="D21" s="36" t="n">
        <f aca="false">IF(C21&lt;'Reference Data'!$C$7,'Readiness Scorecard'!$C$7,0)</f>
        <v>15000</v>
      </c>
      <c r="E21" s="36" t="n">
        <f aca="false">IF(C21&lt;'Reference Data'!$C$7,'Readiness Scorecard'!$C$8,0)</f>
        <v>2250</v>
      </c>
      <c r="F21" s="36" t="n">
        <f aca="false">K20*'Reference Data'!$C$14</f>
        <v>47878.8527029326</v>
      </c>
      <c r="G21" s="48" t="n">
        <f aca="false">K20*$I$3</f>
        <v>2992.42829393329</v>
      </c>
      <c r="H21" s="36" t="n">
        <f aca="false">IF(C21&gt;='Reference Data'!$C$7,K20*$I$4,0)</f>
        <v>0</v>
      </c>
      <c r="I21" s="36" t="n">
        <f aca="false">H21*0.22</f>
        <v>0</v>
      </c>
      <c r="J21" s="36" t="n">
        <f aca="false">H21-I21</f>
        <v>0</v>
      </c>
      <c r="K21" s="49" t="n">
        <f aca="false">K20+D21+E21+F21-G21-H21</f>
        <v>660622.083195657</v>
      </c>
    </row>
    <row r="22" customFormat="false" ht="15" hidden="false" customHeight="true" outlineLevel="0" collapsed="false">
      <c r="B22" s="35" t="n">
        <f aca="true">YEAR(TODAY())+16</f>
        <v>2042</v>
      </c>
      <c r="C22" s="35" t="n">
        <f aca="false">'Reference Data'!C6+16</f>
        <v>46</v>
      </c>
      <c r="D22" s="36" t="n">
        <f aca="false">IF(C22&lt;'Reference Data'!$C$7,'Readiness Scorecard'!$C$7,0)</f>
        <v>15000</v>
      </c>
      <c r="E22" s="36" t="n">
        <f aca="false">IF(C22&lt;'Reference Data'!$C$7,'Readiness Scorecard'!$C$8,0)</f>
        <v>2250</v>
      </c>
      <c r="F22" s="36" t="n">
        <f aca="false">K21*'Reference Data'!$C$14</f>
        <v>52849.7666556526</v>
      </c>
      <c r="G22" s="48" t="n">
        <f aca="false">K21*$I$3</f>
        <v>3303.11041597829</v>
      </c>
      <c r="H22" s="36" t="n">
        <f aca="false">IF(C22&gt;='Reference Data'!$C$7,K21*$I$4,0)</f>
        <v>0</v>
      </c>
      <c r="I22" s="36" t="n">
        <f aca="false">H22*0.22</f>
        <v>0</v>
      </c>
      <c r="J22" s="36" t="n">
        <f aca="false">H22-I22</f>
        <v>0</v>
      </c>
      <c r="K22" s="49" t="n">
        <f aca="false">K21+D22+E22+F22-G22-H22</f>
        <v>727418.739435331</v>
      </c>
    </row>
    <row r="23" customFormat="false" ht="15" hidden="false" customHeight="true" outlineLevel="0" collapsed="false">
      <c r="B23" s="35" t="n">
        <f aca="true">YEAR(TODAY())+17</f>
        <v>2043</v>
      </c>
      <c r="C23" s="35" t="n">
        <f aca="false">'Reference Data'!C6+17</f>
        <v>47</v>
      </c>
      <c r="D23" s="36" t="n">
        <f aca="false">IF(C23&lt;'Reference Data'!$C$7,'Readiness Scorecard'!$C$7,0)</f>
        <v>15000</v>
      </c>
      <c r="E23" s="36" t="n">
        <f aca="false">IF(C23&lt;'Reference Data'!$C$7,'Readiness Scorecard'!$C$8,0)</f>
        <v>2250</v>
      </c>
      <c r="F23" s="36" t="n">
        <f aca="false">K22*'Reference Data'!$C$14</f>
        <v>58193.4991548265</v>
      </c>
      <c r="G23" s="48" t="n">
        <f aca="false">K22*$I$3</f>
        <v>3637.09369717666</v>
      </c>
      <c r="H23" s="36" t="n">
        <f aca="false">IF(C23&gt;='Reference Data'!$C$7,K22*$I$4,0)</f>
        <v>0</v>
      </c>
      <c r="I23" s="36" t="n">
        <f aca="false">H23*0.22</f>
        <v>0</v>
      </c>
      <c r="J23" s="36" t="n">
        <f aca="false">H23-I23</f>
        <v>0</v>
      </c>
      <c r="K23" s="49" t="n">
        <f aca="false">K22+D23+E23+F23-G23-H23</f>
        <v>799225.144892981</v>
      </c>
    </row>
    <row r="24" customFormat="false" ht="15" hidden="false" customHeight="true" outlineLevel="0" collapsed="false">
      <c r="B24" s="35" t="n">
        <f aca="true">YEAR(TODAY())+18</f>
        <v>2044</v>
      </c>
      <c r="C24" s="35" t="n">
        <f aca="false">'Reference Data'!C6+18</f>
        <v>48</v>
      </c>
      <c r="D24" s="36" t="n">
        <f aca="false">IF(C24&lt;'Reference Data'!$C$7,'Readiness Scorecard'!$C$7,0)</f>
        <v>15000</v>
      </c>
      <c r="E24" s="36" t="n">
        <f aca="false">IF(C24&lt;'Reference Data'!$C$7,'Readiness Scorecard'!$C$8,0)</f>
        <v>2250</v>
      </c>
      <c r="F24" s="36" t="n">
        <f aca="false">K23*'Reference Data'!$C$14</f>
        <v>63938.0115914385</v>
      </c>
      <c r="G24" s="48" t="n">
        <f aca="false">K23*$I$3</f>
        <v>3996.12572446491</v>
      </c>
      <c r="H24" s="36" t="n">
        <f aca="false">IF(C24&gt;='Reference Data'!$C$7,K23*$I$4,0)</f>
        <v>0</v>
      </c>
      <c r="I24" s="36" t="n">
        <f aca="false">H24*0.22</f>
        <v>0</v>
      </c>
      <c r="J24" s="36" t="n">
        <f aca="false">H24-I24</f>
        <v>0</v>
      </c>
      <c r="K24" s="49" t="n">
        <f aca="false">K23+D24+E24+F24-G24-H24</f>
        <v>876417.030759955</v>
      </c>
    </row>
    <row r="25" customFormat="false" ht="15" hidden="false" customHeight="true" outlineLevel="0" collapsed="false">
      <c r="B25" s="35" t="n">
        <f aca="true">YEAR(TODAY())+19</f>
        <v>2045</v>
      </c>
      <c r="C25" s="35" t="n">
        <f aca="false">'Reference Data'!C6+19</f>
        <v>49</v>
      </c>
      <c r="D25" s="36" t="n">
        <f aca="false">IF(C25&lt;'Reference Data'!$C$7,'Readiness Scorecard'!$C$7,0)</f>
        <v>15000</v>
      </c>
      <c r="E25" s="36" t="n">
        <f aca="false">IF(C25&lt;'Reference Data'!$C$7,'Readiness Scorecard'!$C$8,0)</f>
        <v>2250</v>
      </c>
      <c r="F25" s="36" t="n">
        <f aca="false">K24*'Reference Data'!$C$14</f>
        <v>70113.3624607964</v>
      </c>
      <c r="G25" s="48" t="n">
        <f aca="false">K24*$I$3</f>
        <v>4382.08515379978</v>
      </c>
      <c r="H25" s="36" t="n">
        <f aca="false">IF(C25&gt;='Reference Data'!$C$7,K24*$I$4,0)</f>
        <v>0</v>
      </c>
      <c r="I25" s="36" t="n">
        <f aca="false">H25*0.22</f>
        <v>0</v>
      </c>
      <c r="J25" s="36" t="n">
        <f aca="false">H25-I25</f>
        <v>0</v>
      </c>
      <c r="K25" s="49" t="n">
        <f aca="false">K24+D25+E25+F25-G25-H25</f>
        <v>959398.308066952</v>
      </c>
    </row>
    <row r="26" customFormat="false" ht="15" hidden="false" customHeight="true" outlineLevel="0" collapsed="false">
      <c r="B26" s="35" t="n">
        <f aca="true">YEAR(TODAY())+20</f>
        <v>2046</v>
      </c>
      <c r="C26" s="35" t="n">
        <f aca="false">'Reference Data'!C6+20</f>
        <v>50</v>
      </c>
      <c r="D26" s="36" t="n">
        <f aca="false">IF(C26&lt;'Reference Data'!$C$7,'Readiness Scorecard'!$C$7,0)</f>
        <v>15000</v>
      </c>
      <c r="E26" s="36" t="n">
        <f aca="false">IF(C26&lt;'Reference Data'!$C$7,'Readiness Scorecard'!$C$8,0)</f>
        <v>2250</v>
      </c>
      <c r="F26" s="36" t="n">
        <f aca="false">K25*'Reference Data'!$C$14</f>
        <v>76751.8646453561</v>
      </c>
      <c r="G26" s="48" t="n">
        <f aca="false">K25*$I$3</f>
        <v>4796.99154033476</v>
      </c>
      <c r="H26" s="36" t="n">
        <f aca="false">IF(C26&gt;='Reference Data'!$C$7,K25*$I$4,0)</f>
        <v>0</v>
      </c>
      <c r="I26" s="36" t="n">
        <f aca="false">H26*0.22</f>
        <v>0</v>
      </c>
      <c r="J26" s="36" t="n">
        <f aca="false">H26-I26</f>
        <v>0</v>
      </c>
      <c r="K26" s="49" t="n">
        <f aca="false">K25+D26+E26+F26-G26-H26</f>
        <v>1048603.18117197</v>
      </c>
    </row>
    <row r="27" customFormat="false" ht="15" hidden="false" customHeight="true" outlineLevel="0" collapsed="false">
      <c r="B27" s="35" t="n">
        <f aca="true">YEAR(TODAY())+21</f>
        <v>2047</v>
      </c>
      <c r="C27" s="35" t="n">
        <f aca="false">'Reference Data'!C6+21</f>
        <v>51</v>
      </c>
      <c r="D27" s="36" t="n">
        <f aca="false">IF(C27&lt;'Reference Data'!$C$7,'Readiness Scorecard'!$C$7,0)</f>
        <v>15000</v>
      </c>
      <c r="E27" s="36" t="n">
        <f aca="false">IF(C27&lt;'Reference Data'!$C$7,'Readiness Scorecard'!$C$8,0)</f>
        <v>2250</v>
      </c>
      <c r="F27" s="36" t="n">
        <f aca="false">K26*'Reference Data'!$C$14</f>
        <v>83888.2544937578</v>
      </c>
      <c r="G27" s="48" t="n">
        <f aca="false">K26*$I$3</f>
        <v>5243.01590585987</v>
      </c>
      <c r="H27" s="36" t="n">
        <f aca="false">IF(C27&gt;='Reference Data'!$C$7,K26*$I$4,0)</f>
        <v>0</v>
      </c>
      <c r="I27" s="36" t="n">
        <f aca="false">H27*0.22</f>
        <v>0</v>
      </c>
      <c r="J27" s="36" t="n">
        <f aca="false">H27-I27</f>
        <v>0</v>
      </c>
      <c r="K27" s="49" t="n">
        <f aca="false">K26+D27+E27+F27-G27-H27</f>
        <v>1144498.41975987</v>
      </c>
    </row>
    <row r="28" customFormat="false" ht="15" hidden="false" customHeight="true" outlineLevel="0" collapsed="false">
      <c r="B28" s="35" t="n">
        <f aca="true">YEAR(TODAY())+22</f>
        <v>2048</v>
      </c>
      <c r="C28" s="35" t="n">
        <f aca="false">'Reference Data'!C6+22</f>
        <v>52</v>
      </c>
      <c r="D28" s="36" t="n">
        <f aca="false">IF(C28&lt;'Reference Data'!$C$7,'Readiness Scorecard'!$C$7,0)</f>
        <v>15000</v>
      </c>
      <c r="E28" s="36" t="n">
        <f aca="false">IF(C28&lt;'Reference Data'!$C$7,'Readiness Scorecard'!$C$8,0)</f>
        <v>2250</v>
      </c>
      <c r="F28" s="36" t="n">
        <f aca="false">K27*'Reference Data'!$C$14</f>
        <v>91559.8735807897</v>
      </c>
      <c r="G28" s="48" t="n">
        <f aca="false">K27*$I$3</f>
        <v>5722.49209879936</v>
      </c>
      <c r="H28" s="36" t="n">
        <f aca="false">IF(C28&gt;='Reference Data'!$C$7,K27*$I$4,0)</f>
        <v>0</v>
      </c>
      <c r="I28" s="36" t="n">
        <f aca="false">H28*0.22</f>
        <v>0</v>
      </c>
      <c r="J28" s="36" t="n">
        <f aca="false">H28-I28</f>
        <v>0</v>
      </c>
      <c r="K28" s="49" t="n">
        <f aca="false">K27+D28+E28+F28-G28-H28</f>
        <v>1247585.80124186</v>
      </c>
    </row>
    <row r="29" customFormat="false" ht="15" hidden="false" customHeight="true" outlineLevel="0" collapsed="false">
      <c r="B29" s="35" t="n">
        <f aca="true">YEAR(TODAY())+23</f>
        <v>2049</v>
      </c>
      <c r="C29" s="35" t="n">
        <f aca="false">'Reference Data'!C6+23</f>
        <v>53</v>
      </c>
      <c r="D29" s="36" t="n">
        <f aca="false">IF(C29&lt;'Reference Data'!$C$7,'Readiness Scorecard'!$C$7,0)</f>
        <v>15000</v>
      </c>
      <c r="E29" s="36" t="n">
        <f aca="false">IF(C29&lt;'Reference Data'!$C$7,'Readiness Scorecard'!$C$8,0)</f>
        <v>2250</v>
      </c>
      <c r="F29" s="36" t="n">
        <f aca="false">K28*'Reference Data'!$C$14</f>
        <v>99806.8640993489</v>
      </c>
      <c r="G29" s="48" t="n">
        <f aca="false">K28*$I$3</f>
        <v>6237.92900620931</v>
      </c>
      <c r="H29" s="36" t="n">
        <f aca="false">IF(C29&gt;='Reference Data'!$C$7,K28*$I$4,0)</f>
        <v>0</v>
      </c>
      <c r="I29" s="36" t="n">
        <f aca="false">H29*0.22</f>
        <v>0</v>
      </c>
      <c r="J29" s="36" t="n">
        <f aca="false">H29-I29</f>
        <v>0</v>
      </c>
      <c r="K29" s="49" t="n">
        <f aca="false">K28+D29+E29+F29-G29-H29</f>
        <v>1358404.736335</v>
      </c>
    </row>
    <row r="30" customFormat="false" ht="15" hidden="false" customHeight="true" outlineLevel="0" collapsed="false">
      <c r="B30" s="35" t="n">
        <f aca="true">YEAR(TODAY())+24</f>
        <v>2050</v>
      </c>
      <c r="C30" s="35" t="n">
        <f aca="false">'Reference Data'!C6+24</f>
        <v>54</v>
      </c>
      <c r="D30" s="36" t="n">
        <f aca="false">IF(C30&lt;'Reference Data'!$C$7,'Readiness Scorecard'!$C$7,0)</f>
        <v>15000</v>
      </c>
      <c r="E30" s="36" t="n">
        <f aca="false">IF(C30&lt;'Reference Data'!$C$7,'Readiness Scorecard'!$C$8,0)</f>
        <v>2250</v>
      </c>
      <c r="F30" s="36" t="n">
        <f aca="false">K29*'Reference Data'!$C$14</f>
        <v>108672.3789068</v>
      </c>
      <c r="G30" s="48" t="n">
        <f aca="false">K29*$I$3</f>
        <v>6792.023681675</v>
      </c>
      <c r="H30" s="36" t="n">
        <f aca="false">IF(C30&gt;='Reference Data'!$C$7,K29*$I$4,0)</f>
        <v>0</v>
      </c>
      <c r="I30" s="36" t="n">
        <f aca="false">H30*0.22</f>
        <v>0</v>
      </c>
      <c r="J30" s="36" t="n">
        <f aca="false">H30-I30</f>
        <v>0</v>
      </c>
      <c r="K30" s="49" t="n">
        <f aca="false">K29+D30+E30+F30-G30-H30</f>
        <v>1477535.09156013</v>
      </c>
    </row>
    <row r="31" customFormat="false" ht="15" hidden="false" customHeight="true" outlineLevel="0" collapsed="false">
      <c r="B31" s="35" t="n">
        <f aca="true">YEAR(TODAY())+25</f>
        <v>2051</v>
      </c>
      <c r="C31" s="35" t="n">
        <f aca="false">'Reference Data'!C6+25</f>
        <v>55</v>
      </c>
      <c r="D31" s="36" t="n">
        <f aca="false">IF(C31&lt;'Reference Data'!$C$7,'Readiness Scorecard'!$C$7,0)</f>
        <v>15000</v>
      </c>
      <c r="E31" s="36" t="n">
        <f aca="false">IF(C31&lt;'Reference Data'!$C$7,'Readiness Scorecard'!$C$8,0)</f>
        <v>2250</v>
      </c>
      <c r="F31" s="36" t="n">
        <f aca="false">K30*'Reference Data'!$C$14</f>
        <v>118202.80732481</v>
      </c>
      <c r="G31" s="48" t="n">
        <f aca="false">K30*$I$3</f>
        <v>7387.67545780063</v>
      </c>
      <c r="H31" s="36" t="n">
        <f aca="false">IF(C31&gt;='Reference Data'!$C$7,K30*$I$4,0)</f>
        <v>0</v>
      </c>
      <c r="I31" s="36" t="n">
        <f aca="false">H31*0.22</f>
        <v>0</v>
      </c>
      <c r="J31" s="36" t="n">
        <f aca="false">H31-I31</f>
        <v>0</v>
      </c>
      <c r="K31" s="49" t="n">
        <f aca="false">K30+D31+E31+F31-G31-H31</f>
        <v>1605600.22342714</v>
      </c>
    </row>
    <row r="32" customFormat="false" ht="15" hidden="false" customHeight="true" outlineLevel="0" collapsed="false">
      <c r="B32" s="35" t="n">
        <f aca="true">YEAR(TODAY())+26</f>
        <v>2052</v>
      </c>
      <c r="C32" s="35" t="n">
        <f aca="false">'Reference Data'!C6+26</f>
        <v>56</v>
      </c>
      <c r="D32" s="36" t="n">
        <f aca="false">IF(C32&lt;'Reference Data'!$C$7,'Readiness Scorecard'!$C$7,0)</f>
        <v>15000</v>
      </c>
      <c r="E32" s="36" t="n">
        <f aca="false">IF(C32&lt;'Reference Data'!$C$7,'Readiness Scorecard'!$C$8,0)</f>
        <v>2250</v>
      </c>
      <c r="F32" s="36" t="n">
        <f aca="false">K31*'Reference Data'!$C$14</f>
        <v>128448.017874171</v>
      </c>
      <c r="G32" s="48" t="n">
        <f aca="false">K31*$I$3</f>
        <v>8028.00111713568</v>
      </c>
      <c r="H32" s="36" t="n">
        <f aca="false">IF(C32&gt;='Reference Data'!$C$7,K31*$I$4,0)</f>
        <v>0</v>
      </c>
      <c r="I32" s="36" t="n">
        <f aca="false">H32*0.22</f>
        <v>0</v>
      </c>
      <c r="J32" s="36" t="n">
        <f aca="false">H32-I32</f>
        <v>0</v>
      </c>
      <c r="K32" s="49" t="n">
        <f aca="false">K31+D32+E32+F32-G32-H32</f>
        <v>1743270.24018417</v>
      </c>
    </row>
    <row r="33" customFormat="false" ht="15" hidden="false" customHeight="true" outlineLevel="0" collapsed="false">
      <c r="B33" s="35" t="n">
        <f aca="true">YEAR(TODAY())+27</f>
        <v>2053</v>
      </c>
      <c r="C33" s="35" t="n">
        <f aca="false">'Reference Data'!C6+27</f>
        <v>57</v>
      </c>
      <c r="D33" s="36" t="n">
        <f aca="false">IF(C33&lt;'Reference Data'!$C$7,'Readiness Scorecard'!$C$7,0)</f>
        <v>15000</v>
      </c>
      <c r="E33" s="36" t="n">
        <f aca="false">IF(C33&lt;'Reference Data'!$C$7,'Readiness Scorecard'!$C$8,0)</f>
        <v>2250</v>
      </c>
      <c r="F33" s="36" t="n">
        <f aca="false">K32*'Reference Data'!$C$14</f>
        <v>139461.619214734</v>
      </c>
      <c r="G33" s="48" t="n">
        <f aca="false">K32*$I$3</f>
        <v>8716.35120092085</v>
      </c>
      <c r="H33" s="36" t="n">
        <f aca="false">IF(C33&gt;='Reference Data'!$C$7,K32*$I$4,0)</f>
        <v>0</v>
      </c>
      <c r="I33" s="36" t="n">
        <f aca="false">H33*0.22</f>
        <v>0</v>
      </c>
      <c r="J33" s="36" t="n">
        <f aca="false">H33-I33</f>
        <v>0</v>
      </c>
      <c r="K33" s="49" t="n">
        <f aca="false">K32+D33+E33+F33-G33-H33</f>
        <v>1891265.50819798</v>
      </c>
    </row>
    <row r="34" customFormat="false" ht="15" hidden="false" customHeight="true" outlineLevel="0" collapsed="false">
      <c r="B34" s="35" t="n">
        <f aca="true">YEAR(TODAY())+28</f>
        <v>2054</v>
      </c>
      <c r="C34" s="35" t="n">
        <f aca="false">'Reference Data'!C6+28</f>
        <v>58</v>
      </c>
      <c r="D34" s="36" t="n">
        <f aca="false">IF(C34&lt;'Reference Data'!$C$7,'Readiness Scorecard'!$C$7,0)</f>
        <v>15000</v>
      </c>
      <c r="E34" s="36" t="n">
        <f aca="false">IF(C34&lt;'Reference Data'!$C$7,'Readiness Scorecard'!$C$8,0)</f>
        <v>2250</v>
      </c>
      <c r="F34" s="36" t="n">
        <f aca="false">K33*'Reference Data'!$C$14</f>
        <v>151301.240655839</v>
      </c>
      <c r="G34" s="48" t="n">
        <f aca="false">K33*$I$3</f>
        <v>9456.32754098992</v>
      </c>
      <c r="H34" s="36" t="n">
        <f aca="false">IF(C34&gt;='Reference Data'!$C$7,K33*$I$4,0)</f>
        <v>0</v>
      </c>
      <c r="I34" s="36" t="n">
        <f aca="false">H34*0.22</f>
        <v>0</v>
      </c>
      <c r="J34" s="36" t="n">
        <f aca="false">H34-I34</f>
        <v>0</v>
      </c>
      <c r="K34" s="49" t="n">
        <f aca="false">K33+D34+E34+F34-G34-H34</f>
        <v>2050360.42131283</v>
      </c>
    </row>
    <row r="35" customFormat="false" ht="15" hidden="false" customHeight="true" outlineLevel="0" collapsed="false">
      <c r="B35" s="35" t="n">
        <f aca="true">YEAR(TODAY())+29</f>
        <v>2055</v>
      </c>
      <c r="C35" s="35" t="n">
        <f aca="false">'Reference Data'!C6+29</f>
        <v>59</v>
      </c>
      <c r="D35" s="36" t="n">
        <f aca="false">IF(C35&lt;'Reference Data'!$C$7,'Readiness Scorecard'!$C$7,0)</f>
        <v>15000</v>
      </c>
      <c r="E35" s="36" t="n">
        <f aca="false">IF(C35&lt;'Reference Data'!$C$7,'Readiness Scorecard'!$C$8,0)</f>
        <v>2250</v>
      </c>
      <c r="F35" s="36" t="n">
        <f aca="false">K34*'Reference Data'!$C$14</f>
        <v>164028.833705027</v>
      </c>
      <c r="G35" s="48" t="n">
        <f aca="false">K34*$I$3</f>
        <v>10251.8021065642</v>
      </c>
      <c r="H35" s="36" t="n">
        <f aca="false">IF(C35&gt;='Reference Data'!$C$7,K34*$I$4,0)</f>
        <v>0</v>
      </c>
      <c r="I35" s="36" t="n">
        <f aca="false">H35*0.22</f>
        <v>0</v>
      </c>
      <c r="J35" s="36" t="n">
        <f aca="false">H35-I35</f>
        <v>0</v>
      </c>
      <c r="K35" s="49" t="n">
        <f aca="false">K34+D35+E35+F35-G35-H35</f>
        <v>2221387.45291129</v>
      </c>
    </row>
    <row r="36" customFormat="false" ht="15" hidden="false" customHeight="true" outlineLevel="0" collapsed="false">
      <c r="B36" s="35" t="n">
        <f aca="true">YEAR(TODAY())+30</f>
        <v>2056</v>
      </c>
      <c r="C36" s="35" t="n">
        <f aca="false">'Reference Data'!C6+30</f>
        <v>60</v>
      </c>
      <c r="D36" s="36" t="n">
        <f aca="false">IF(C36&lt;'Reference Data'!$C$7,'Readiness Scorecard'!$C$7,0)</f>
        <v>15000</v>
      </c>
      <c r="E36" s="36" t="n">
        <f aca="false">IF(C36&lt;'Reference Data'!$C$7,'Readiness Scorecard'!$C$8,0)</f>
        <v>2250</v>
      </c>
      <c r="F36" s="36" t="n">
        <f aca="false">K35*'Reference Data'!$C$14</f>
        <v>177710.996232904</v>
      </c>
      <c r="G36" s="48" t="n">
        <f aca="false">K35*$I$3</f>
        <v>11106.9372645565</v>
      </c>
      <c r="H36" s="36" t="n">
        <f aca="false">IF(C36&gt;='Reference Data'!$C$7,K35*$I$4,0)</f>
        <v>0</v>
      </c>
      <c r="I36" s="36" t="n">
        <f aca="false">H36*0.22</f>
        <v>0</v>
      </c>
      <c r="J36" s="36" t="n">
        <f aca="false">H36-I36</f>
        <v>0</v>
      </c>
      <c r="K36" s="49" t="n">
        <f aca="false">K35+D36+E36+F36-G36-H36</f>
        <v>2405241.51187964</v>
      </c>
    </row>
    <row r="37" customFormat="false" ht="15" hidden="false" customHeight="true" outlineLevel="0" collapsed="false">
      <c r="B37" s="35" t="n">
        <f aca="true">YEAR(TODAY())+31</f>
        <v>2057</v>
      </c>
      <c r="C37" s="35" t="n">
        <f aca="false">'Reference Data'!C6+31</f>
        <v>61</v>
      </c>
      <c r="D37" s="36" t="n">
        <f aca="false">IF(C37&lt;'Reference Data'!$C$7,'Readiness Scorecard'!$C$7,0)</f>
        <v>15000</v>
      </c>
      <c r="E37" s="36" t="n">
        <f aca="false">IF(C37&lt;'Reference Data'!$C$7,'Readiness Scorecard'!$C$8,0)</f>
        <v>2250</v>
      </c>
      <c r="F37" s="36" t="n">
        <f aca="false">K36*'Reference Data'!$C$14</f>
        <v>192419.320950371</v>
      </c>
      <c r="G37" s="48" t="n">
        <f aca="false">K36*$I$3</f>
        <v>12026.2075593982</v>
      </c>
      <c r="H37" s="36" t="n">
        <f aca="false">IF(C37&gt;='Reference Data'!$C$7,K36*$I$4,0)</f>
        <v>0</v>
      </c>
      <c r="I37" s="36" t="n">
        <f aca="false">H37*0.22</f>
        <v>0</v>
      </c>
      <c r="J37" s="36" t="n">
        <f aca="false">H37-I37</f>
        <v>0</v>
      </c>
      <c r="K37" s="49" t="n">
        <f aca="false">K36+D37+E37+F37-G37-H37</f>
        <v>2602884.62527061</v>
      </c>
    </row>
    <row r="38" customFormat="false" ht="15" hidden="false" customHeight="true" outlineLevel="0" collapsed="false">
      <c r="B38" s="35" t="n">
        <f aca="true">YEAR(TODAY())+32</f>
        <v>2058</v>
      </c>
      <c r="C38" s="35" t="n">
        <f aca="false">'Reference Data'!C6+32</f>
        <v>62</v>
      </c>
      <c r="D38" s="36" t="n">
        <f aca="false">IF(C38&lt;'Reference Data'!$C$7,'Readiness Scorecard'!$C$7,0)</f>
        <v>15000</v>
      </c>
      <c r="E38" s="36" t="n">
        <f aca="false">IF(C38&lt;'Reference Data'!$C$7,'Readiness Scorecard'!$C$8,0)</f>
        <v>2250</v>
      </c>
      <c r="F38" s="36" t="n">
        <f aca="false">K37*'Reference Data'!$C$14</f>
        <v>208230.770021649</v>
      </c>
      <c r="G38" s="48" t="n">
        <f aca="false">K37*$I$3</f>
        <v>13014.4231263531</v>
      </c>
      <c r="H38" s="36" t="n">
        <f aca="false">IF(C38&gt;='Reference Data'!$C$7,K37*$I$4,0)</f>
        <v>0</v>
      </c>
      <c r="I38" s="36" t="n">
        <f aca="false">H38*0.22</f>
        <v>0</v>
      </c>
      <c r="J38" s="36" t="n">
        <f aca="false">H38-I38</f>
        <v>0</v>
      </c>
      <c r="K38" s="49" t="n">
        <f aca="false">K37+D38+E38+F38-G38-H38</f>
        <v>2815350.97216591</v>
      </c>
    </row>
    <row r="39" customFormat="false" ht="15" hidden="false" customHeight="true" outlineLevel="0" collapsed="false">
      <c r="B39" s="35" t="n">
        <f aca="true">YEAR(TODAY())+33</f>
        <v>2059</v>
      </c>
      <c r="C39" s="35" t="n">
        <f aca="false">'Reference Data'!C6+33</f>
        <v>63</v>
      </c>
      <c r="D39" s="36" t="n">
        <f aca="false">IF(C39&lt;'Reference Data'!$C$7,'Readiness Scorecard'!$C$7,0)</f>
        <v>15000</v>
      </c>
      <c r="E39" s="36" t="n">
        <f aca="false">IF(C39&lt;'Reference Data'!$C$7,'Readiness Scorecard'!$C$8,0)</f>
        <v>2250</v>
      </c>
      <c r="F39" s="36" t="n">
        <f aca="false">K38*'Reference Data'!$C$14</f>
        <v>225228.077773273</v>
      </c>
      <c r="G39" s="48" t="n">
        <f aca="false">K38*$I$3</f>
        <v>14076.7548608296</v>
      </c>
      <c r="H39" s="36" t="n">
        <f aca="false">IF(C39&gt;='Reference Data'!$C$7,K38*$I$4,0)</f>
        <v>0</v>
      </c>
      <c r="I39" s="36" t="n">
        <f aca="false">H39*0.22</f>
        <v>0</v>
      </c>
      <c r="J39" s="36" t="n">
        <f aca="false">H39-I39</f>
        <v>0</v>
      </c>
      <c r="K39" s="49" t="n">
        <f aca="false">K38+D39+E39+F39-G39-H39</f>
        <v>3043752.29507835</v>
      </c>
    </row>
    <row r="40" customFormat="false" ht="15" hidden="false" customHeight="true" outlineLevel="0" collapsed="false">
      <c r="B40" s="35" t="n">
        <f aca="true">YEAR(TODAY())+34</f>
        <v>2060</v>
      </c>
      <c r="C40" s="35" t="n">
        <f aca="false">'Reference Data'!C6+34</f>
        <v>64</v>
      </c>
      <c r="D40" s="36" t="n">
        <f aca="false">IF(C40&lt;'Reference Data'!$C$7,'Readiness Scorecard'!$C$7,0)</f>
        <v>15000</v>
      </c>
      <c r="E40" s="36" t="n">
        <f aca="false">IF(C40&lt;'Reference Data'!$C$7,'Readiness Scorecard'!$C$8,0)</f>
        <v>2250</v>
      </c>
      <c r="F40" s="36" t="n">
        <f aca="false">K39*'Reference Data'!$C$14</f>
        <v>243500.183606268</v>
      </c>
      <c r="G40" s="48" t="n">
        <f aca="false">K39*$I$3</f>
        <v>15218.7614753918</v>
      </c>
      <c r="H40" s="36" t="n">
        <f aca="false">IF(C40&gt;='Reference Data'!$C$7,K39*$I$4,0)</f>
        <v>0</v>
      </c>
      <c r="I40" s="36" t="n">
        <f aca="false">H40*0.22</f>
        <v>0</v>
      </c>
      <c r="J40" s="36" t="n">
        <f aca="false">H40-I40</f>
        <v>0</v>
      </c>
      <c r="K40" s="49" t="n">
        <f aca="false">K39+D40+E40+F40-G40-H40</f>
        <v>3289283.71720923</v>
      </c>
    </row>
    <row r="41" customFormat="false" ht="15" hidden="false" customHeight="true" outlineLevel="0" collapsed="false">
      <c r="B41" s="35" t="n">
        <f aca="true">YEAR(TODAY())+35</f>
        <v>2061</v>
      </c>
      <c r="C41" s="35" t="n">
        <f aca="false">'Reference Data'!C6+35</f>
        <v>65</v>
      </c>
      <c r="D41" s="36" t="n">
        <f aca="false">IF(C41&lt;'Reference Data'!$C$7,'Readiness Scorecard'!$C$7,0)</f>
        <v>0</v>
      </c>
      <c r="E41" s="36" t="n">
        <f aca="false">IF(C41&lt;'Reference Data'!$C$7,'Readiness Scorecard'!$C$8,0)</f>
        <v>0</v>
      </c>
      <c r="F41" s="36" t="n">
        <f aca="false">K40*'Reference Data'!$C$14</f>
        <v>263142.697376739</v>
      </c>
      <c r="G41" s="48" t="n">
        <f aca="false">K40*$I$3</f>
        <v>16446.4185860462</v>
      </c>
      <c r="H41" s="36" t="n">
        <f aca="false">IF(C41&gt;='Reference Data'!$C$7,K40*$I$4,0)</f>
        <v>131571.348688369</v>
      </c>
      <c r="I41" s="36" t="n">
        <f aca="false">H41*0.22</f>
        <v>28945.6967114412</v>
      </c>
      <c r="J41" s="36" t="n">
        <f aca="false">H41-I41</f>
        <v>102625.651976928</v>
      </c>
      <c r="K41" s="49" t="n">
        <f aca="false">K40+D41+E41+F41-G41-H41</f>
        <v>3404408.64731155</v>
      </c>
    </row>
    <row r="42" customFormat="false" ht="15" hidden="false" customHeight="true" outlineLevel="0" collapsed="false">
      <c r="B42" s="35" t="n">
        <f aca="true">YEAR(TODAY())+36</f>
        <v>2062</v>
      </c>
      <c r="C42" s="35" t="n">
        <f aca="false">'Reference Data'!C6+36</f>
        <v>66</v>
      </c>
      <c r="D42" s="36" t="n">
        <f aca="false">IF(C42&lt;'Reference Data'!$C$7,'Readiness Scorecard'!$C$7,0)</f>
        <v>0</v>
      </c>
      <c r="E42" s="36" t="n">
        <f aca="false">IF(C42&lt;'Reference Data'!$C$7,'Readiness Scorecard'!$C$8,0)</f>
        <v>0</v>
      </c>
      <c r="F42" s="36" t="n">
        <f aca="false">K41*'Reference Data'!$C$14</f>
        <v>272352.691784924</v>
      </c>
      <c r="G42" s="48" t="n">
        <f aca="false">K41*$I$3</f>
        <v>17022.0432365578</v>
      </c>
      <c r="H42" s="36" t="n">
        <f aca="false">IF(C42&gt;='Reference Data'!$C$7,K41*$I$4,0)</f>
        <v>136176.345892462</v>
      </c>
      <c r="I42" s="36" t="n">
        <f aca="false">H42*0.22</f>
        <v>29958.7960963417</v>
      </c>
      <c r="J42" s="36" t="n">
        <f aca="false">H42-I42</f>
        <v>106217.54979612</v>
      </c>
      <c r="K42" s="49" t="n">
        <f aca="false">K41+D42+E42+F42-G42-H42</f>
        <v>3523562.94996746</v>
      </c>
    </row>
    <row r="43" customFormat="false" ht="15" hidden="false" customHeight="true" outlineLevel="0" collapsed="false">
      <c r="B43" s="35" t="n">
        <f aca="true">YEAR(TODAY())+37</f>
        <v>2063</v>
      </c>
      <c r="C43" s="35" t="n">
        <f aca="false">'Reference Data'!C6+37</f>
        <v>67</v>
      </c>
      <c r="D43" s="36" t="n">
        <f aca="false">IF(C43&lt;'Reference Data'!$C$7,'Readiness Scorecard'!$C$7,0)</f>
        <v>0</v>
      </c>
      <c r="E43" s="36" t="n">
        <f aca="false">IF(C43&lt;'Reference Data'!$C$7,'Readiness Scorecard'!$C$8,0)</f>
        <v>0</v>
      </c>
      <c r="F43" s="36" t="n">
        <f aca="false">K42*'Reference Data'!$C$14</f>
        <v>281885.035997397</v>
      </c>
      <c r="G43" s="48" t="n">
        <f aca="false">K42*$I$3</f>
        <v>17617.8147498373</v>
      </c>
      <c r="H43" s="36" t="n">
        <f aca="false">IF(C43&gt;='Reference Data'!$C$7,K42*$I$4,0)</f>
        <v>140942.517998698</v>
      </c>
      <c r="I43" s="36" t="n">
        <f aca="false">H43*0.22</f>
        <v>31007.3539597136</v>
      </c>
      <c r="J43" s="36" t="n">
        <f aca="false">H43-I43</f>
        <v>109935.164038985</v>
      </c>
      <c r="K43" s="49" t="n">
        <f aca="false">K42+D43+E43+F43-G43-H43</f>
        <v>3646887.65321632</v>
      </c>
    </row>
    <row r="44" customFormat="false" ht="15" hidden="false" customHeight="true" outlineLevel="0" collapsed="false">
      <c r="B44" s="35" t="n">
        <f aca="true">YEAR(TODAY())+38</f>
        <v>2064</v>
      </c>
      <c r="C44" s="35" t="n">
        <f aca="false">'Reference Data'!C6+38</f>
        <v>68</v>
      </c>
      <c r="D44" s="36" t="n">
        <f aca="false">IF(C44&lt;'Reference Data'!$C$7,'Readiness Scorecard'!$C$7,0)</f>
        <v>0</v>
      </c>
      <c r="E44" s="36" t="n">
        <f aca="false">IF(C44&lt;'Reference Data'!$C$7,'Readiness Scorecard'!$C$8,0)</f>
        <v>0</v>
      </c>
      <c r="F44" s="36" t="n">
        <f aca="false">K43*'Reference Data'!$C$14</f>
        <v>291751.012257306</v>
      </c>
      <c r="G44" s="48" t="n">
        <f aca="false">K43*$I$3</f>
        <v>18234.4382660816</v>
      </c>
      <c r="H44" s="36" t="n">
        <f aca="false">IF(C44&gt;='Reference Data'!$C$7,K43*$I$4,0)</f>
        <v>145875.506128653</v>
      </c>
      <c r="I44" s="36" t="n">
        <f aca="false">H44*0.22</f>
        <v>32092.6113483036</v>
      </c>
      <c r="J44" s="36" t="n">
        <f aca="false">H44-I44</f>
        <v>113782.894780349</v>
      </c>
      <c r="K44" s="49" t="n">
        <f aca="false">K43+D44+E44+F44-G44-H44</f>
        <v>3774528.72107889</v>
      </c>
    </row>
    <row r="45" customFormat="false" ht="15" hidden="false" customHeight="true" outlineLevel="0" collapsed="false">
      <c r="B45" s="35" t="n">
        <f aca="true">YEAR(TODAY())+39</f>
        <v>2065</v>
      </c>
      <c r="C45" s="35" t="n">
        <f aca="false">'Reference Data'!C6+39</f>
        <v>69</v>
      </c>
      <c r="D45" s="36" t="n">
        <f aca="false">IF(C45&lt;'Reference Data'!$C$7,'Readiness Scorecard'!$C$7,0)</f>
        <v>0</v>
      </c>
      <c r="E45" s="36" t="n">
        <f aca="false">IF(C45&lt;'Reference Data'!$C$7,'Readiness Scorecard'!$C$8,0)</f>
        <v>0</v>
      </c>
      <c r="F45" s="36" t="n">
        <f aca="false">K44*'Reference Data'!$C$14</f>
        <v>301962.297686311</v>
      </c>
      <c r="G45" s="48" t="n">
        <f aca="false">K44*$I$3</f>
        <v>18872.6436053945</v>
      </c>
      <c r="H45" s="36" t="n">
        <f aca="false">IF(C45&gt;='Reference Data'!$C$7,K44*$I$4,0)</f>
        <v>150981.148843156</v>
      </c>
      <c r="I45" s="36" t="n">
        <f aca="false">H45*0.22</f>
        <v>33215.8527454942</v>
      </c>
      <c r="J45" s="36" t="n">
        <f aca="false">H45-I45</f>
        <v>117765.296097661</v>
      </c>
      <c r="K45" s="49" t="n">
        <f aca="false">K44+D45+E45+F45-G45-H45</f>
        <v>3906637.22631665</v>
      </c>
    </row>
    <row r="46" customFormat="false" ht="15" hidden="false" customHeight="true" outlineLevel="0" collapsed="false">
      <c r="B46" s="35" t="n">
        <f aca="true">YEAR(TODAY())+40</f>
        <v>2066</v>
      </c>
      <c r="C46" s="35" t="n">
        <f aca="false">'Reference Data'!C6+40</f>
        <v>70</v>
      </c>
      <c r="D46" s="36" t="n">
        <f aca="false">IF(C46&lt;'Reference Data'!$C$7,'Readiness Scorecard'!$C$7,0)</f>
        <v>0</v>
      </c>
      <c r="E46" s="36" t="n">
        <f aca="false">IF(C46&lt;'Reference Data'!$C$7,'Readiness Scorecard'!$C$8,0)</f>
        <v>0</v>
      </c>
      <c r="F46" s="36" t="n">
        <f aca="false">K45*'Reference Data'!$C$14</f>
        <v>312530.978105332</v>
      </c>
      <c r="G46" s="48" t="n">
        <f aca="false">K45*$I$3</f>
        <v>19533.1861315833</v>
      </c>
      <c r="H46" s="36" t="n">
        <f aca="false">IF(C46&gt;='Reference Data'!$C$7,K45*$I$4,0)</f>
        <v>156265.489052666</v>
      </c>
      <c r="I46" s="36" t="n">
        <f aca="false">H46*0.22</f>
        <v>34378.4075915865</v>
      </c>
      <c r="J46" s="36" t="n">
        <f aca="false">H46-I46</f>
        <v>121887.08146108</v>
      </c>
      <c r="K46" s="49" t="n">
        <f aca="false">K45+D46+E46+F46-G46-H46</f>
        <v>4043369.52923773</v>
      </c>
    </row>
    <row r="47" customFormat="false" ht="15" hidden="false" customHeight="true" outlineLevel="0" collapsed="false">
      <c r="B47" s="50" t="s">
        <v>201</v>
      </c>
      <c r="C47" s="50"/>
      <c r="D47" s="51" t="n">
        <f aca="false">SUM(D6:D46)</f>
        <v>525000</v>
      </c>
      <c r="E47" s="51" t="n">
        <f aca="false">SUM(E6:E46)</f>
        <v>78750</v>
      </c>
      <c r="F47" s="51" t="n">
        <f aca="false">SUM(F6:F46)</f>
        <v>4534860.67823119</v>
      </c>
      <c r="G47" s="51" t="n">
        <f aca="false">SUM(G6:G46)</f>
        <v>283428.792389449</v>
      </c>
      <c r="H47" s="51" t="n">
        <f aca="false">SUM(H6:H46)</f>
        <v>861812.356604004</v>
      </c>
      <c r="I47" s="51" t="n">
        <f aca="false">SUM(I6:I46)</f>
        <v>189598.718452881</v>
      </c>
      <c r="J47" s="51" t="n">
        <f aca="false">SUM(J6:J46)</f>
        <v>672213.638151123</v>
      </c>
      <c r="K47" s="51" t="n">
        <f aca="false">SUM(K6:K46)</f>
        <v>60679128.0071276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2026-04-16T03:39:46Z</dcterms:created>
  <dc:creator>openpyxl</dc:creator>
  <dc:description/>
  <dc:language>en-US</dc:language>
  <cp:lastModifiedBy/>
  <dcterms:modified xsi:type="dcterms:W3CDTF">2026-04-16T03:40:51Z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